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metodos numericos1\"/>
    </mc:Choice>
  </mc:AlternateContent>
  <xr:revisionPtr revIDLastSave="0" documentId="13_ncr:1_{8AA2ACC0-45B8-4ED1-91CB-E46CA4C525E5}" xr6:coauthVersionLast="47" xr6:coauthVersionMax="47" xr10:uidLastSave="{00000000-0000-0000-0000-000000000000}"/>
  <bookViews>
    <workbookView xWindow="-120" yWindow="-120" windowWidth="20730" windowHeight="11040" xr2:uid="{B1E4B37A-855F-4578-BFB2-C57A126AA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2" i="1" l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G142" i="1"/>
  <c r="I142" i="1" s="1"/>
  <c r="J142" i="1" s="1"/>
  <c r="H142" i="1"/>
  <c r="H141" i="1"/>
  <c r="I141" i="1"/>
  <c r="J141" i="1" s="1"/>
  <c r="K141" i="1" s="1"/>
  <c r="A161" i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B161" i="1"/>
  <c r="B162" i="1" s="1"/>
  <c r="C161" i="1"/>
  <c r="H140" i="1"/>
  <c r="I140" i="1" s="1"/>
  <c r="J140" i="1" s="1"/>
  <c r="K140" i="1" s="1"/>
  <c r="G141" i="1" s="1"/>
  <c r="F141" i="1"/>
  <c r="B141" i="1"/>
  <c r="C141" i="1" s="1"/>
  <c r="A141" i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C140" i="1"/>
  <c r="H18" i="1"/>
  <c r="I18" i="1" s="1"/>
  <c r="J18" i="1" s="1"/>
  <c r="K18" i="1" s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A115" i="1"/>
  <c r="A116" i="1" s="1"/>
  <c r="A117" i="1" s="1"/>
  <c r="A118" i="1" s="1"/>
  <c r="B115" i="1"/>
  <c r="B116" i="1" s="1"/>
  <c r="C115" i="1"/>
  <c r="A70" i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B70" i="1"/>
  <c r="C70" i="1" s="1"/>
  <c r="B71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B48" i="1"/>
  <c r="C48" i="1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28" i="1"/>
  <c r="B29" i="1" s="1"/>
  <c r="C28" i="1"/>
  <c r="C19" i="1"/>
  <c r="B19" i="1"/>
  <c r="A19" i="1"/>
  <c r="A20" i="1" s="1"/>
  <c r="A21" i="1" s="1"/>
  <c r="A22" i="1" s="1"/>
  <c r="A23" i="1" s="1"/>
  <c r="A24" i="1" s="1"/>
  <c r="A25" i="1" s="1"/>
  <c r="A26" i="1" s="1"/>
  <c r="A27" i="1" s="1"/>
  <c r="C18" i="1"/>
  <c r="K142" i="1" l="1"/>
  <c r="G143" i="1" s="1"/>
  <c r="C162" i="1"/>
  <c r="B163" i="1"/>
  <c r="B142" i="1"/>
  <c r="C142" i="1" s="1"/>
  <c r="B143" i="1" s="1"/>
  <c r="C143" i="1" s="1"/>
  <c r="B144" i="1" s="1"/>
  <c r="G19" i="1"/>
  <c r="C116" i="1"/>
  <c r="B117" i="1" s="1"/>
  <c r="C71" i="1"/>
  <c r="B72" i="1"/>
  <c r="B49" i="1"/>
  <c r="C29" i="1"/>
  <c r="B30" i="1" s="1"/>
  <c r="B20" i="1"/>
  <c r="C20" i="1"/>
  <c r="B21" i="1" s="1"/>
  <c r="C21" i="1" s="1"/>
  <c r="B22" i="1" s="1"/>
  <c r="H143" i="1" l="1"/>
  <c r="I143" i="1"/>
  <c r="J143" i="1" s="1"/>
  <c r="K143" i="1" s="1"/>
  <c r="G144" i="1" s="1"/>
  <c r="C163" i="1"/>
  <c r="B164" i="1" s="1"/>
  <c r="C144" i="1"/>
  <c r="B145" i="1" s="1"/>
  <c r="H19" i="1"/>
  <c r="C117" i="1"/>
  <c r="B118" i="1" s="1"/>
  <c r="B73" i="1"/>
  <c r="C72" i="1"/>
  <c r="C49" i="1"/>
  <c r="B50" i="1" s="1"/>
  <c r="C30" i="1"/>
  <c r="B31" i="1" s="1"/>
  <c r="C22" i="1"/>
  <c r="B23" i="1" s="1"/>
  <c r="H144" i="1" l="1"/>
  <c r="I144" i="1" s="1"/>
  <c r="J144" i="1" s="1"/>
  <c r="C164" i="1"/>
  <c r="B165" i="1"/>
  <c r="C145" i="1"/>
  <c r="B146" i="1" s="1"/>
  <c r="C146" i="1" s="1"/>
  <c r="B147" i="1" s="1"/>
  <c r="I19" i="1"/>
  <c r="J19" i="1" s="1"/>
  <c r="K19" i="1" s="1"/>
  <c r="G20" i="1" s="1"/>
  <c r="H20" i="1" s="1"/>
  <c r="I20" i="1" s="1"/>
  <c r="J20" i="1" s="1"/>
  <c r="K20" i="1" s="1"/>
  <c r="G21" i="1" s="1"/>
  <c r="C118" i="1"/>
  <c r="C73" i="1"/>
  <c r="B74" i="1" s="1"/>
  <c r="C50" i="1"/>
  <c r="B51" i="1"/>
  <c r="C31" i="1"/>
  <c r="B32" i="1" s="1"/>
  <c r="C23" i="1"/>
  <c r="B24" i="1" s="1"/>
  <c r="K144" i="1" l="1"/>
  <c r="G145" i="1" s="1"/>
  <c r="B166" i="1"/>
  <c r="C165" i="1"/>
  <c r="C147" i="1"/>
  <c r="B148" i="1" s="1"/>
  <c r="C148" i="1" s="1"/>
  <c r="B149" i="1" s="1"/>
  <c r="C149" i="1" s="1"/>
  <c r="B150" i="1" s="1"/>
  <c r="C150" i="1" s="1"/>
  <c r="B151" i="1" s="1"/>
  <c r="H21" i="1"/>
  <c r="I21" i="1" s="1"/>
  <c r="J21" i="1" s="1"/>
  <c r="K21" i="1" s="1"/>
  <c r="G22" i="1" s="1"/>
  <c r="H22" i="1" s="1"/>
  <c r="B75" i="1"/>
  <c r="C74" i="1"/>
  <c r="C51" i="1"/>
  <c r="B52" i="1"/>
  <c r="C32" i="1"/>
  <c r="B33" i="1" s="1"/>
  <c r="C24" i="1"/>
  <c r="B25" i="1" s="1"/>
  <c r="C25" i="1" s="1"/>
  <c r="B26" i="1" s="1"/>
  <c r="H145" i="1" l="1"/>
  <c r="I145" i="1" s="1"/>
  <c r="J145" i="1" s="1"/>
  <c r="K145" i="1" s="1"/>
  <c r="G146" i="1" s="1"/>
  <c r="C166" i="1"/>
  <c r="B167" i="1" s="1"/>
  <c r="C151" i="1"/>
  <c r="B152" i="1" s="1"/>
  <c r="I22" i="1"/>
  <c r="J22" i="1" s="1"/>
  <c r="K22" i="1" s="1"/>
  <c r="G23" i="1" s="1"/>
  <c r="C75" i="1"/>
  <c r="B76" i="1" s="1"/>
  <c r="C52" i="1"/>
  <c r="B53" i="1" s="1"/>
  <c r="C33" i="1"/>
  <c r="B34" i="1" s="1"/>
  <c r="C26" i="1"/>
  <c r="B27" i="1" s="1"/>
  <c r="C27" i="1" s="1"/>
  <c r="I146" i="1" l="1"/>
  <c r="J146" i="1" s="1"/>
  <c r="H146" i="1"/>
  <c r="K146" i="1" s="1"/>
  <c r="G147" i="1" s="1"/>
  <c r="C167" i="1"/>
  <c r="B168" i="1"/>
  <c r="C152" i="1"/>
  <c r="B153" i="1" s="1"/>
  <c r="H23" i="1"/>
  <c r="I23" i="1" s="1"/>
  <c r="J23" i="1" s="1"/>
  <c r="C76" i="1"/>
  <c r="B77" i="1"/>
  <c r="C53" i="1"/>
  <c r="B54" i="1" s="1"/>
  <c r="C34" i="1"/>
  <c r="B35" i="1"/>
  <c r="H147" i="1" l="1"/>
  <c r="K147" i="1" s="1"/>
  <c r="G148" i="1" s="1"/>
  <c r="I147" i="1"/>
  <c r="J147" i="1" s="1"/>
  <c r="C168" i="1"/>
  <c r="B169" i="1"/>
  <c r="C153" i="1"/>
  <c r="B154" i="1" s="1"/>
  <c r="K23" i="1"/>
  <c r="G24" i="1" s="1"/>
  <c r="C77" i="1"/>
  <c r="B78" i="1" s="1"/>
  <c r="C54" i="1"/>
  <c r="B55" i="1"/>
  <c r="C35" i="1"/>
  <c r="B36" i="1"/>
  <c r="H148" i="1" l="1"/>
  <c r="I148" i="1" s="1"/>
  <c r="J148" i="1" s="1"/>
  <c r="C169" i="1"/>
  <c r="B170" i="1" s="1"/>
  <c r="C154" i="1"/>
  <c r="B155" i="1" s="1"/>
  <c r="H24" i="1"/>
  <c r="I24" i="1" s="1"/>
  <c r="J24" i="1" s="1"/>
  <c r="K24" i="1" s="1"/>
  <c r="G25" i="1" s="1"/>
  <c r="C78" i="1"/>
  <c r="B79" i="1" s="1"/>
  <c r="C55" i="1"/>
  <c r="B56" i="1" s="1"/>
  <c r="C36" i="1"/>
  <c r="B37" i="1" s="1"/>
  <c r="K148" i="1" l="1"/>
  <c r="G149" i="1" s="1"/>
  <c r="C170" i="1"/>
  <c r="B171" i="1"/>
  <c r="C155" i="1"/>
  <c r="B156" i="1" s="1"/>
  <c r="H25" i="1"/>
  <c r="I25" i="1" s="1"/>
  <c r="J25" i="1" s="1"/>
  <c r="K25" i="1" s="1"/>
  <c r="G26" i="1" s="1"/>
  <c r="C79" i="1"/>
  <c r="B80" i="1" s="1"/>
  <c r="C56" i="1"/>
  <c r="B57" i="1"/>
  <c r="C37" i="1"/>
  <c r="B38" i="1" s="1"/>
  <c r="H149" i="1" l="1"/>
  <c r="I149" i="1" s="1"/>
  <c r="J149" i="1" s="1"/>
  <c r="K149" i="1" s="1"/>
  <c r="G150" i="1" s="1"/>
  <c r="C171" i="1"/>
  <c r="B172" i="1" s="1"/>
  <c r="C156" i="1"/>
  <c r="B157" i="1" s="1"/>
  <c r="H26" i="1"/>
  <c r="I26" i="1" s="1"/>
  <c r="J26" i="1" s="1"/>
  <c r="B81" i="1"/>
  <c r="C80" i="1"/>
  <c r="C57" i="1"/>
  <c r="B58" i="1"/>
  <c r="C38" i="1"/>
  <c r="B39" i="1"/>
  <c r="H150" i="1" l="1"/>
  <c r="I150" i="1" s="1"/>
  <c r="J150" i="1" s="1"/>
  <c r="C172" i="1"/>
  <c r="B173" i="1"/>
  <c r="C157" i="1"/>
  <c r="B158" i="1" s="1"/>
  <c r="K26" i="1"/>
  <c r="G27" i="1" s="1"/>
  <c r="C81" i="1"/>
  <c r="B82" i="1" s="1"/>
  <c r="C58" i="1"/>
  <c r="B59" i="1" s="1"/>
  <c r="C39" i="1"/>
  <c r="B40" i="1"/>
  <c r="K150" i="1" l="1"/>
  <c r="G151" i="1" s="1"/>
  <c r="C173" i="1"/>
  <c r="B174" i="1" s="1"/>
  <c r="C158" i="1"/>
  <c r="B159" i="1" s="1"/>
  <c r="H27" i="1"/>
  <c r="I27" i="1" s="1"/>
  <c r="J27" i="1" s="1"/>
  <c r="B83" i="1"/>
  <c r="C82" i="1"/>
  <c r="C59" i="1"/>
  <c r="B60" i="1" s="1"/>
  <c r="C40" i="1"/>
  <c r="B41" i="1" s="1"/>
  <c r="H151" i="1" l="1"/>
  <c r="K151" i="1" s="1"/>
  <c r="G152" i="1" s="1"/>
  <c r="I151" i="1"/>
  <c r="J151" i="1" s="1"/>
  <c r="B175" i="1"/>
  <c r="C174" i="1"/>
  <c r="C159" i="1"/>
  <c r="B160" i="1" s="1"/>
  <c r="C160" i="1" s="1"/>
  <c r="K27" i="1"/>
  <c r="G28" i="1" s="1"/>
  <c r="H28" i="1" s="1"/>
  <c r="I28" i="1" s="1"/>
  <c r="J28" i="1" s="1"/>
  <c r="K28" i="1" s="1"/>
  <c r="G29" i="1" s="1"/>
  <c r="C83" i="1"/>
  <c r="B84" i="1"/>
  <c r="C60" i="1"/>
  <c r="B61" i="1" s="1"/>
  <c r="C41" i="1"/>
  <c r="B42" i="1" s="1"/>
  <c r="H152" i="1" l="1"/>
  <c r="K152" i="1" s="1"/>
  <c r="G153" i="1" s="1"/>
  <c r="I152" i="1"/>
  <c r="J152" i="1" s="1"/>
  <c r="C175" i="1"/>
  <c r="B176" i="1" s="1"/>
  <c r="H29" i="1"/>
  <c r="I29" i="1" s="1"/>
  <c r="J29" i="1" s="1"/>
  <c r="K29" i="1" s="1"/>
  <c r="G30" i="1" s="1"/>
  <c r="C84" i="1"/>
  <c r="B85" i="1"/>
  <c r="C61" i="1"/>
  <c r="B62" i="1" s="1"/>
  <c r="C42" i="1"/>
  <c r="B43" i="1" s="1"/>
  <c r="H153" i="1" l="1"/>
  <c r="I153" i="1" s="1"/>
  <c r="J153" i="1" s="1"/>
  <c r="K153" i="1" s="1"/>
  <c r="G154" i="1" s="1"/>
  <c r="C176" i="1"/>
  <c r="B177" i="1" s="1"/>
  <c r="H30" i="1"/>
  <c r="I30" i="1"/>
  <c r="J30" i="1" s="1"/>
  <c r="K30" i="1" s="1"/>
  <c r="G31" i="1" s="1"/>
  <c r="H31" i="1" s="1"/>
  <c r="I31" i="1" s="1"/>
  <c r="J31" i="1" s="1"/>
  <c r="K31" i="1" s="1"/>
  <c r="G32" i="1" s="1"/>
  <c r="C85" i="1"/>
  <c r="B86" i="1" s="1"/>
  <c r="C62" i="1"/>
  <c r="B63" i="1"/>
  <c r="C43" i="1"/>
  <c r="B44" i="1" s="1"/>
  <c r="I154" i="1" l="1"/>
  <c r="J154" i="1" s="1"/>
  <c r="H154" i="1"/>
  <c r="K154" i="1" s="1"/>
  <c r="G155" i="1" s="1"/>
  <c r="B178" i="1"/>
  <c r="C177" i="1"/>
  <c r="H32" i="1"/>
  <c r="I32" i="1" s="1"/>
  <c r="J32" i="1" s="1"/>
  <c r="K32" i="1" s="1"/>
  <c r="G33" i="1" s="1"/>
  <c r="C86" i="1"/>
  <c r="B87" i="1" s="1"/>
  <c r="C63" i="1"/>
  <c r="B64" i="1" s="1"/>
  <c r="C44" i="1"/>
  <c r="B45" i="1" s="1"/>
  <c r="I155" i="1" l="1"/>
  <c r="J155" i="1" s="1"/>
  <c r="K155" i="1" s="1"/>
  <c r="G156" i="1" s="1"/>
  <c r="H155" i="1"/>
  <c r="C178" i="1"/>
  <c r="B179" i="1" s="1"/>
  <c r="H33" i="1"/>
  <c r="I33" i="1" s="1"/>
  <c r="J33" i="1" s="1"/>
  <c r="K33" i="1" s="1"/>
  <c r="G34" i="1" s="1"/>
  <c r="C87" i="1"/>
  <c r="B88" i="1"/>
  <c r="C64" i="1"/>
  <c r="B65" i="1"/>
  <c r="C45" i="1"/>
  <c r="B46" i="1" s="1"/>
  <c r="H156" i="1" l="1"/>
  <c r="C179" i="1"/>
  <c r="B180" i="1" s="1"/>
  <c r="C180" i="1" s="1"/>
  <c r="H34" i="1"/>
  <c r="I34" i="1" s="1"/>
  <c r="J34" i="1" s="1"/>
  <c r="K34" i="1" s="1"/>
  <c r="G35" i="1" s="1"/>
  <c r="C88" i="1"/>
  <c r="B89" i="1" s="1"/>
  <c r="C65" i="1"/>
  <c r="B66" i="1"/>
  <c r="C46" i="1"/>
  <c r="B47" i="1" s="1"/>
  <c r="C47" i="1" s="1"/>
  <c r="I156" i="1" l="1"/>
  <c r="J156" i="1" s="1"/>
  <c r="K156" i="1" s="1"/>
  <c r="G157" i="1" s="1"/>
  <c r="H35" i="1"/>
  <c r="I35" i="1" s="1"/>
  <c r="J35" i="1" s="1"/>
  <c r="C89" i="1"/>
  <c r="B90" i="1" s="1"/>
  <c r="C66" i="1"/>
  <c r="B67" i="1" s="1"/>
  <c r="H157" i="1" l="1"/>
  <c r="I157" i="1"/>
  <c r="J157" i="1" s="1"/>
  <c r="K157" i="1"/>
  <c r="G158" i="1" s="1"/>
  <c r="K35" i="1"/>
  <c r="G36" i="1" s="1"/>
  <c r="B91" i="1"/>
  <c r="C90" i="1"/>
  <c r="C67" i="1"/>
  <c r="B68" i="1"/>
  <c r="I158" i="1" l="1"/>
  <c r="J158" i="1" s="1"/>
  <c r="K158" i="1" s="1"/>
  <c r="G159" i="1" s="1"/>
  <c r="H158" i="1"/>
  <c r="H36" i="1"/>
  <c r="I36" i="1" s="1"/>
  <c r="J36" i="1" s="1"/>
  <c r="K36" i="1" s="1"/>
  <c r="G37" i="1" s="1"/>
  <c r="C91" i="1"/>
  <c r="B92" i="1" s="1"/>
  <c r="C68" i="1"/>
  <c r="B69" i="1" s="1"/>
  <c r="C69" i="1" s="1"/>
  <c r="H159" i="1" l="1"/>
  <c r="I159" i="1" s="1"/>
  <c r="J159" i="1" s="1"/>
  <c r="H37" i="1"/>
  <c r="I37" i="1" s="1"/>
  <c r="J37" i="1" s="1"/>
  <c r="K37" i="1" s="1"/>
  <c r="G38" i="1" s="1"/>
  <c r="C92" i="1"/>
  <c r="B93" i="1" s="1"/>
  <c r="K159" i="1" l="1"/>
  <c r="G160" i="1" s="1"/>
  <c r="H38" i="1"/>
  <c r="C93" i="1"/>
  <c r="B94" i="1" s="1"/>
  <c r="H160" i="1" l="1"/>
  <c r="I38" i="1"/>
  <c r="J38" i="1" s="1"/>
  <c r="K38" i="1" s="1"/>
  <c r="G39" i="1" s="1"/>
  <c r="C94" i="1"/>
  <c r="B95" i="1" s="1"/>
  <c r="I160" i="1" l="1"/>
  <c r="J160" i="1" s="1"/>
  <c r="K160" i="1" s="1"/>
  <c r="G161" i="1" s="1"/>
  <c r="H39" i="1"/>
  <c r="I39" i="1" s="1"/>
  <c r="J39" i="1" s="1"/>
  <c r="K39" i="1"/>
  <c r="G40" i="1" s="1"/>
  <c r="C95" i="1"/>
  <c r="B96" i="1" s="1"/>
  <c r="H161" i="1" l="1"/>
  <c r="I161" i="1" s="1"/>
  <c r="J161" i="1" s="1"/>
  <c r="K161" i="1" s="1"/>
  <c r="G162" i="1" s="1"/>
  <c r="H40" i="1"/>
  <c r="I40" i="1" s="1"/>
  <c r="J40" i="1" s="1"/>
  <c r="K40" i="1"/>
  <c r="G41" i="1" s="1"/>
  <c r="B97" i="1"/>
  <c r="C96" i="1"/>
  <c r="H162" i="1" l="1"/>
  <c r="I162" i="1" s="1"/>
  <c r="J162" i="1" s="1"/>
  <c r="H41" i="1"/>
  <c r="I41" i="1" s="1"/>
  <c r="J41" i="1" s="1"/>
  <c r="C97" i="1"/>
  <c r="B98" i="1" s="1"/>
  <c r="K162" i="1" l="1"/>
  <c r="G163" i="1" s="1"/>
  <c r="K41" i="1"/>
  <c r="G42" i="1" s="1"/>
  <c r="H42" i="1" s="1"/>
  <c r="B99" i="1"/>
  <c r="C98" i="1"/>
  <c r="H163" i="1" l="1"/>
  <c r="I42" i="1"/>
  <c r="J42" i="1" s="1"/>
  <c r="K42" i="1" s="1"/>
  <c r="G43" i="1" s="1"/>
  <c r="C99" i="1"/>
  <c r="B100" i="1" s="1"/>
  <c r="I163" i="1" l="1"/>
  <c r="J163" i="1" s="1"/>
  <c r="K163" i="1" s="1"/>
  <c r="G164" i="1" s="1"/>
  <c r="H43" i="1"/>
  <c r="I43" i="1" s="1"/>
  <c r="J43" i="1" s="1"/>
  <c r="K43" i="1" s="1"/>
  <c r="G44" i="1" s="1"/>
  <c r="C100" i="1"/>
  <c r="B101" i="1" s="1"/>
  <c r="H164" i="1" l="1"/>
  <c r="I164" i="1" s="1"/>
  <c r="J164" i="1" s="1"/>
  <c r="H44" i="1"/>
  <c r="I44" i="1" s="1"/>
  <c r="J44" i="1" s="1"/>
  <c r="K44" i="1" s="1"/>
  <c r="G45" i="1" s="1"/>
  <c r="C101" i="1"/>
  <c r="B102" i="1" s="1"/>
  <c r="K164" i="1" l="1"/>
  <c r="G165" i="1" s="1"/>
  <c r="H45" i="1"/>
  <c r="I45" i="1" s="1"/>
  <c r="J45" i="1" s="1"/>
  <c r="K45" i="1" s="1"/>
  <c r="G46" i="1" s="1"/>
  <c r="H46" i="1" s="1"/>
  <c r="I46" i="1" s="1"/>
  <c r="J46" i="1" s="1"/>
  <c r="K46" i="1" s="1"/>
  <c r="G47" i="1" s="1"/>
  <c r="C102" i="1"/>
  <c r="B103" i="1" s="1"/>
  <c r="H165" i="1" l="1"/>
  <c r="I165" i="1" s="1"/>
  <c r="J165" i="1" s="1"/>
  <c r="H47" i="1"/>
  <c r="I47" i="1" s="1"/>
  <c r="J47" i="1" s="1"/>
  <c r="C103" i="1"/>
  <c r="B104" i="1" s="1"/>
  <c r="K165" i="1" l="1"/>
  <c r="G166" i="1" s="1"/>
  <c r="K47" i="1"/>
  <c r="G48" i="1" s="1"/>
  <c r="C104" i="1"/>
  <c r="B105" i="1" s="1"/>
  <c r="H166" i="1" l="1"/>
  <c r="I166" i="1" s="1"/>
  <c r="J166" i="1" s="1"/>
  <c r="H48" i="1"/>
  <c r="I48" i="1" s="1"/>
  <c r="J48" i="1" s="1"/>
  <c r="C105" i="1"/>
  <c r="B106" i="1"/>
  <c r="K166" i="1" l="1"/>
  <c r="G167" i="1" s="1"/>
  <c r="K48" i="1"/>
  <c r="G49" i="1" s="1"/>
  <c r="C106" i="1"/>
  <c r="B107" i="1" s="1"/>
  <c r="H167" i="1" l="1"/>
  <c r="H49" i="1"/>
  <c r="I49" i="1" s="1"/>
  <c r="J49" i="1" s="1"/>
  <c r="C107" i="1"/>
  <c r="B108" i="1" s="1"/>
  <c r="I167" i="1" l="1"/>
  <c r="J167" i="1" s="1"/>
  <c r="K167" i="1" s="1"/>
  <c r="G168" i="1" s="1"/>
  <c r="K49" i="1"/>
  <c r="G50" i="1" s="1"/>
  <c r="H50" i="1" s="1"/>
  <c r="I50" i="1" s="1"/>
  <c r="J50" i="1" s="1"/>
  <c r="C108" i="1"/>
  <c r="B109" i="1"/>
  <c r="H168" i="1" l="1"/>
  <c r="I168" i="1" s="1"/>
  <c r="J168" i="1" s="1"/>
  <c r="K50" i="1"/>
  <c r="G51" i="1" s="1"/>
  <c r="C109" i="1"/>
  <c r="B110" i="1" s="1"/>
  <c r="K168" i="1" l="1"/>
  <c r="G169" i="1" s="1"/>
  <c r="H51" i="1"/>
  <c r="I51" i="1" s="1"/>
  <c r="J51" i="1" s="1"/>
  <c r="K51" i="1" s="1"/>
  <c r="G52" i="1" s="1"/>
  <c r="C110" i="1"/>
  <c r="B111" i="1"/>
  <c r="H169" i="1" l="1"/>
  <c r="I169" i="1" s="1"/>
  <c r="J169" i="1" s="1"/>
  <c r="H52" i="1"/>
  <c r="I52" i="1" s="1"/>
  <c r="J52" i="1" s="1"/>
  <c r="C111" i="1"/>
  <c r="B112" i="1"/>
  <c r="K169" i="1" l="1"/>
  <c r="G170" i="1" s="1"/>
  <c r="K52" i="1"/>
  <c r="G53" i="1" s="1"/>
  <c r="C112" i="1"/>
  <c r="B113" i="1"/>
  <c r="H170" i="1" l="1"/>
  <c r="I170" i="1" s="1"/>
  <c r="J170" i="1" s="1"/>
  <c r="H53" i="1"/>
  <c r="I53" i="1" s="1"/>
  <c r="J53" i="1" s="1"/>
  <c r="C113" i="1"/>
  <c r="B114" i="1"/>
  <c r="C114" i="1" s="1"/>
  <c r="K170" i="1" l="1"/>
  <c r="G171" i="1" s="1"/>
  <c r="K53" i="1"/>
  <c r="G54" i="1" s="1"/>
  <c r="H171" i="1" l="1"/>
  <c r="I171" i="1" s="1"/>
  <c r="J171" i="1" s="1"/>
  <c r="H54" i="1"/>
  <c r="I54" i="1" s="1"/>
  <c r="J54" i="1" s="1"/>
  <c r="K54" i="1" s="1"/>
  <c r="G55" i="1" s="1"/>
  <c r="H55" i="1" s="1"/>
  <c r="I55" i="1" s="1"/>
  <c r="J55" i="1" s="1"/>
  <c r="K55" i="1" s="1"/>
  <c r="G56" i="1" s="1"/>
  <c r="K171" i="1" l="1"/>
  <c r="G172" i="1" s="1"/>
  <c r="H56" i="1"/>
  <c r="I56" i="1" s="1"/>
  <c r="J56" i="1" s="1"/>
  <c r="K56" i="1" s="1"/>
  <c r="G57" i="1" s="1"/>
  <c r="H172" i="1" l="1"/>
  <c r="I172" i="1"/>
  <c r="J172" i="1" s="1"/>
  <c r="K172" i="1"/>
  <c r="G173" i="1" s="1"/>
  <c r="H57" i="1"/>
  <c r="I57" i="1" s="1"/>
  <c r="J57" i="1" s="1"/>
  <c r="K57" i="1" s="1"/>
  <c r="G58" i="1" s="1"/>
  <c r="I173" i="1" l="1"/>
  <c r="J173" i="1" s="1"/>
  <c r="K173" i="1" s="1"/>
  <c r="G174" i="1" s="1"/>
  <c r="H173" i="1"/>
  <c r="H58" i="1"/>
  <c r="I58" i="1"/>
  <c r="J58" i="1" s="1"/>
  <c r="K58" i="1" s="1"/>
  <c r="G59" i="1" s="1"/>
  <c r="H59" i="1" s="1"/>
  <c r="H174" i="1" l="1"/>
  <c r="I59" i="1"/>
  <c r="J59" i="1" s="1"/>
  <c r="K59" i="1" s="1"/>
  <c r="G60" i="1" s="1"/>
  <c r="I174" i="1" l="1"/>
  <c r="J174" i="1" s="1"/>
  <c r="K174" i="1" s="1"/>
  <c r="G175" i="1" s="1"/>
  <c r="H60" i="1"/>
  <c r="H175" i="1" l="1"/>
  <c r="I60" i="1"/>
  <c r="J60" i="1" s="1"/>
  <c r="K60" i="1" s="1"/>
  <c r="G61" i="1" s="1"/>
  <c r="H61" i="1" s="1"/>
  <c r="I175" i="1" l="1"/>
  <c r="J175" i="1" s="1"/>
  <c r="K175" i="1" s="1"/>
  <c r="G176" i="1" s="1"/>
  <c r="I61" i="1"/>
  <c r="J61" i="1" s="1"/>
  <c r="K61" i="1" s="1"/>
  <c r="G62" i="1" s="1"/>
  <c r="H176" i="1" l="1"/>
  <c r="I176" i="1"/>
  <c r="J176" i="1" s="1"/>
  <c r="K176" i="1"/>
  <c r="G177" i="1" s="1"/>
  <c r="H62" i="1"/>
  <c r="I62" i="1" s="1"/>
  <c r="J62" i="1" s="1"/>
  <c r="K62" i="1" s="1"/>
  <c r="G63" i="1" s="1"/>
  <c r="I177" i="1" l="1"/>
  <c r="J177" i="1" s="1"/>
  <c r="K177" i="1" s="1"/>
  <c r="G178" i="1" s="1"/>
  <c r="H177" i="1"/>
  <c r="H63" i="1"/>
  <c r="I63" i="1" s="1"/>
  <c r="J63" i="1" s="1"/>
  <c r="K63" i="1" s="1"/>
  <c r="G64" i="1" s="1"/>
  <c r="H64" i="1" s="1"/>
  <c r="I64" i="1" s="1"/>
  <c r="J64" i="1" s="1"/>
  <c r="H178" i="1" l="1"/>
  <c r="K64" i="1"/>
  <c r="G65" i="1" s="1"/>
  <c r="K178" i="1" l="1"/>
  <c r="G179" i="1" s="1"/>
  <c r="I178" i="1"/>
  <c r="J178" i="1" s="1"/>
  <c r="H65" i="1"/>
  <c r="I65" i="1" s="1"/>
  <c r="J65" i="1" s="1"/>
  <c r="K65" i="1" s="1"/>
  <c r="G66" i="1" s="1"/>
  <c r="H179" i="1" l="1"/>
  <c r="K179" i="1" s="1"/>
  <c r="G180" i="1" s="1"/>
  <c r="I179" i="1"/>
  <c r="J179" i="1" s="1"/>
  <c r="H66" i="1"/>
  <c r="H180" i="1" l="1"/>
  <c r="I180" i="1"/>
  <c r="J180" i="1" s="1"/>
  <c r="K180" i="1"/>
  <c r="I66" i="1"/>
  <c r="J66" i="1" s="1"/>
  <c r="K66" i="1" s="1"/>
  <c r="G67" i="1" s="1"/>
  <c r="H67" i="1" s="1"/>
  <c r="I67" i="1" s="1"/>
  <c r="J67" i="1" s="1"/>
  <c r="K67" i="1" l="1"/>
  <c r="G68" i="1" s="1"/>
  <c r="H68" i="1" l="1"/>
  <c r="I68" i="1" s="1"/>
  <c r="J68" i="1" s="1"/>
  <c r="K68" i="1" s="1"/>
  <c r="G69" i="1" s="1"/>
  <c r="H69" i="1" l="1"/>
  <c r="I69" i="1" s="1"/>
  <c r="J69" i="1" s="1"/>
  <c r="K69" i="1" s="1"/>
  <c r="G70" i="1" s="1"/>
  <c r="H70" i="1" l="1"/>
  <c r="I70" i="1" s="1"/>
  <c r="J70" i="1" s="1"/>
  <c r="K70" i="1" l="1"/>
  <c r="G71" i="1" s="1"/>
  <c r="H71" i="1" s="1"/>
  <c r="I71" i="1" l="1"/>
  <c r="J71" i="1" s="1"/>
  <c r="K71" i="1" s="1"/>
  <c r="G72" i="1" s="1"/>
  <c r="H72" i="1" s="1"/>
  <c r="I72" i="1" l="1"/>
  <c r="J72" i="1" s="1"/>
  <c r="K72" i="1" s="1"/>
  <c r="G73" i="1" s="1"/>
  <c r="H73" i="1" s="1"/>
  <c r="I73" i="1" s="1"/>
  <c r="J73" i="1" s="1"/>
  <c r="K73" i="1" s="1"/>
  <c r="G74" i="1" s="1"/>
  <c r="H74" i="1" l="1"/>
  <c r="I74" i="1" s="1"/>
  <c r="J74" i="1" s="1"/>
  <c r="K74" i="1" l="1"/>
  <c r="G75" i="1" s="1"/>
  <c r="H75" i="1" s="1"/>
  <c r="I75" i="1" l="1"/>
  <c r="J75" i="1" s="1"/>
  <c r="K75" i="1" s="1"/>
  <c r="G76" i="1" s="1"/>
  <c r="H76" i="1" s="1"/>
  <c r="I76" i="1" l="1"/>
  <c r="J76" i="1" s="1"/>
  <c r="K76" i="1" s="1"/>
  <c r="G77" i="1" s="1"/>
  <c r="H77" i="1" s="1"/>
  <c r="I77" i="1" s="1"/>
  <c r="J77" i="1" s="1"/>
  <c r="K77" i="1" s="1"/>
  <c r="G78" i="1" s="1"/>
  <c r="H78" i="1" l="1"/>
  <c r="I78" i="1" s="1"/>
  <c r="J78" i="1" s="1"/>
  <c r="K78" i="1" l="1"/>
  <c r="G79" i="1" s="1"/>
  <c r="H79" i="1" s="1"/>
  <c r="I79" i="1" l="1"/>
  <c r="J79" i="1" s="1"/>
  <c r="K79" i="1" s="1"/>
  <c r="G80" i="1" s="1"/>
  <c r="H80" i="1" s="1"/>
  <c r="I80" i="1" s="1"/>
  <c r="J80" i="1" s="1"/>
  <c r="K80" i="1" l="1"/>
  <c r="G81" i="1" s="1"/>
  <c r="H81" i="1" l="1"/>
  <c r="I81" i="1" l="1"/>
  <c r="J81" i="1" s="1"/>
  <c r="K81" i="1" s="1"/>
  <c r="G82" i="1" s="1"/>
  <c r="H82" i="1" l="1"/>
  <c r="I82" i="1" s="1"/>
  <c r="J82" i="1" s="1"/>
  <c r="K82" i="1" s="1"/>
  <c r="G83" i="1" s="1"/>
  <c r="H83" i="1" s="1"/>
  <c r="I83" i="1" l="1"/>
  <c r="J83" i="1" s="1"/>
  <c r="K83" i="1" s="1"/>
  <c r="G84" i="1" s="1"/>
  <c r="H84" i="1" l="1"/>
  <c r="I84" i="1" s="1"/>
  <c r="J84" i="1" s="1"/>
  <c r="K84" i="1" l="1"/>
  <c r="G85" i="1" s="1"/>
  <c r="H85" i="1" l="1"/>
  <c r="I85" i="1" l="1"/>
  <c r="J85" i="1" s="1"/>
  <c r="K85" i="1" s="1"/>
  <c r="G86" i="1" s="1"/>
  <c r="H86" i="1" l="1"/>
  <c r="I86" i="1" s="1"/>
  <c r="J86" i="1" s="1"/>
  <c r="K86" i="1" l="1"/>
  <c r="G87" i="1" s="1"/>
  <c r="H87" i="1" s="1"/>
  <c r="I87" i="1" s="1"/>
  <c r="J87" i="1" s="1"/>
  <c r="K87" i="1" l="1"/>
  <c r="G88" i="1" s="1"/>
  <c r="H88" i="1" s="1"/>
  <c r="I88" i="1" l="1"/>
  <c r="J88" i="1" s="1"/>
  <c r="K88" i="1" s="1"/>
  <c r="G89" i="1" s="1"/>
  <c r="H89" i="1" s="1"/>
  <c r="I89" i="1" s="1"/>
  <c r="J89" i="1" s="1"/>
  <c r="K89" i="1" s="1"/>
  <c r="G90" i="1" s="1"/>
  <c r="H90" i="1" l="1"/>
  <c r="I90" i="1" s="1"/>
  <c r="J90" i="1" s="1"/>
  <c r="K90" i="1" s="1"/>
  <c r="G91" i="1" s="1"/>
  <c r="H91" i="1" l="1"/>
  <c r="I91" i="1" s="1"/>
  <c r="J91" i="1" s="1"/>
  <c r="K91" i="1" l="1"/>
  <c r="G92" i="1" s="1"/>
  <c r="H92" i="1" l="1"/>
  <c r="I92" i="1" s="1"/>
  <c r="J92" i="1" s="1"/>
  <c r="K92" i="1" s="1"/>
  <c r="G93" i="1" s="1"/>
  <c r="H93" i="1" l="1"/>
  <c r="I93" i="1" s="1"/>
  <c r="J93" i="1" s="1"/>
  <c r="K93" i="1" s="1"/>
  <c r="G94" i="1" s="1"/>
  <c r="H94" i="1" l="1"/>
  <c r="I94" i="1" l="1"/>
  <c r="J94" i="1" s="1"/>
  <c r="K94" i="1" s="1"/>
  <c r="G95" i="1" s="1"/>
  <c r="H95" i="1" l="1"/>
  <c r="I95" i="1" s="1"/>
  <c r="J95" i="1" s="1"/>
  <c r="K95" i="1" s="1"/>
  <c r="G96" i="1" s="1"/>
  <c r="H96" i="1" l="1"/>
  <c r="I96" i="1" l="1"/>
  <c r="J96" i="1" s="1"/>
  <c r="K96" i="1" s="1"/>
  <c r="G97" i="1" s="1"/>
  <c r="H97" i="1" l="1"/>
  <c r="I97" i="1" s="1"/>
  <c r="J97" i="1" s="1"/>
  <c r="K97" i="1" s="1"/>
  <c r="G98" i="1" s="1"/>
  <c r="H98" i="1" l="1"/>
  <c r="I98" i="1"/>
  <c r="J98" i="1" s="1"/>
  <c r="K98" i="1" l="1"/>
  <c r="G99" i="1" s="1"/>
  <c r="H99" i="1" s="1"/>
  <c r="I99" i="1" l="1"/>
  <c r="J99" i="1" s="1"/>
  <c r="K99" i="1" s="1"/>
  <c r="G100" i="1" s="1"/>
  <c r="H100" i="1" s="1"/>
  <c r="I100" i="1" s="1"/>
  <c r="J100" i="1" s="1"/>
  <c r="K100" i="1" l="1"/>
  <c r="G101" i="1" s="1"/>
  <c r="H101" i="1" l="1"/>
  <c r="I101" i="1" s="1"/>
  <c r="J101" i="1" s="1"/>
  <c r="K101" i="1" s="1"/>
  <c r="G102" i="1" s="1"/>
  <c r="H102" i="1" l="1"/>
  <c r="I102" i="1" s="1"/>
  <c r="J102" i="1" s="1"/>
  <c r="K102" i="1" s="1"/>
  <c r="G103" i="1" s="1"/>
  <c r="H103" i="1" l="1"/>
  <c r="I103" i="1" s="1"/>
  <c r="J103" i="1" s="1"/>
  <c r="K103" i="1" l="1"/>
  <c r="G104" i="1" s="1"/>
  <c r="H104" i="1" l="1"/>
  <c r="I104" i="1" s="1"/>
  <c r="J104" i="1" s="1"/>
  <c r="K104" i="1" l="1"/>
  <c r="G105" i="1" s="1"/>
  <c r="H105" i="1" l="1"/>
  <c r="I105" i="1" l="1"/>
  <c r="J105" i="1" s="1"/>
  <c r="K105" i="1" s="1"/>
  <c r="G106" i="1" s="1"/>
  <c r="H106" i="1" l="1"/>
  <c r="I106" i="1"/>
  <c r="J106" i="1" s="1"/>
  <c r="K106" i="1" s="1"/>
  <c r="G107" i="1" s="1"/>
  <c r="H107" i="1" s="1"/>
  <c r="I107" i="1" s="1"/>
  <c r="J107" i="1" s="1"/>
  <c r="K107" i="1" l="1"/>
  <c r="G108" i="1" s="1"/>
  <c r="H108" i="1" l="1"/>
  <c r="I108" i="1" s="1"/>
  <c r="J108" i="1" s="1"/>
  <c r="K108" i="1" l="1"/>
  <c r="G109" i="1" s="1"/>
  <c r="H109" i="1" l="1"/>
  <c r="I109" i="1" s="1"/>
  <c r="J109" i="1" s="1"/>
  <c r="K109" i="1" s="1"/>
  <c r="G110" i="1" s="1"/>
  <c r="H110" i="1" l="1"/>
  <c r="I110" i="1" s="1"/>
  <c r="J110" i="1" s="1"/>
  <c r="K110" i="1" s="1"/>
  <c r="G111" i="1" s="1"/>
  <c r="H111" i="1" l="1"/>
  <c r="I111" i="1" l="1"/>
  <c r="J111" i="1" s="1"/>
  <c r="K111" i="1" s="1"/>
  <c r="G112" i="1" s="1"/>
  <c r="H112" i="1" l="1"/>
  <c r="I112" i="1" s="1"/>
  <c r="J112" i="1" s="1"/>
  <c r="K112" i="1" l="1"/>
  <c r="G113" i="1" s="1"/>
  <c r="H113" i="1" l="1"/>
  <c r="I113" i="1" l="1"/>
  <c r="J113" i="1" s="1"/>
  <c r="K113" i="1" s="1"/>
  <c r="G114" i="1" s="1"/>
  <c r="H114" i="1" l="1"/>
  <c r="I114" i="1" l="1"/>
  <c r="J114" i="1" s="1"/>
  <c r="K114" i="1" s="1"/>
  <c r="G115" i="1" s="1"/>
  <c r="H115" i="1" s="1"/>
  <c r="I115" i="1" l="1"/>
  <c r="J115" i="1" s="1"/>
  <c r="K115" i="1" s="1"/>
  <c r="G116" i="1" s="1"/>
  <c r="H116" i="1" l="1"/>
  <c r="I116" i="1" s="1"/>
  <c r="J116" i="1" s="1"/>
  <c r="K116" i="1" l="1"/>
  <c r="G117" i="1" s="1"/>
  <c r="H117" i="1" l="1"/>
  <c r="I117" i="1" s="1"/>
  <c r="J117" i="1" s="1"/>
  <c r="K117" i="1" s="1"/>
  <c r="G118" i="1" s="1"/>
  <c r="H118" i="1" l="1"/>
  <c r="I118" i="1"/>
  <c r="J118" i="1" s="1"/>
  <c r="K118" i="1" s="1"/>
</calcChain>
</file>

<file path=xl/sharedStrings.xml><?xml version="1.0" encoding="utf-8"?>
<sst xmlns="http://schemas.openxmlformats.org/spreadsheetml/2006/main" count="48" uniqueCount="27">
  <si>
    <t xml:space="preserve">Ejercicio 1 </t>
  </si>
  <si>
    <t>EULER</t>
  </si>
  <si>
    <t>y</t>
  </si>
  <si>
    <t>h</t>
  </si>
  <si>
    <t>f(x,y)</t>
  </si>
  <si>
    <t>k</t>
  </si>
  <si>
    <t>mmax</t>
  </si>
  <si>
    <t>x = t</t>
  </si>
  <si>
    <t>t = 400</t>
  </si>
  <si>
    <t>var 1</t>
  </si>
  <si>
    <t>var 2</t>
  </si>
  <si>
    <t>y HEUN</t>
  </si>
  <si>
    <t>xi + h</t>
  </si>
  <si>
    <t>yi + f(xi,yi) h</t>
  </si>
  <si>
    <t>f(var 1, var 2)</t>
  </si>
  <si>
    <t>HEUN</t>
  </si>
  <si>
    <t>t=400</t>
  </si>
  <si>
    <t>EJERCICIO2</t>
  </si>
  <si>
    <t>a</t>
  </si>
  <si>
    <t>b</t>
  </si>
  <si>
    <t>t = 20</t>
  </si>
  <si>
    <t>Solucion Exacta</t>
  </si>
  <si>
    <t>Conclusion</t>
  </si>
  <si>
    <t>Ambos metodos se acercaron a la solucion exacta variando por 0,7 aproximadamente</t>
  </si>
  <si>
    <t>pero por poco el metodo de Euler se acerco mas</t>
  </si>
  <si>
    <t>Ambos metodos se acercaron a la solucion exacta variando por 0,001 aproximadamente</t>
  </si>
  <si>
    <t>Grafico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</si>
</sst>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0" xfId="0"/>
    <xf numFmtId="0" fontId="0" fillId="0" borderId="0" xfId="0" applyFont="1"/>
    <xf numFmtId="0" fontId="1" fillId="0" borderId="0" xfId="0" applyFont="1" applyFill="1" applyBorder="1" applyAlignment="1">
      <alignment horizontal="center"/>
    </xf>
    <xf numFmtId="0" fontId="0" fillId="0" borderId="1" xfId="0" applyFill="1" applyBorder="1"/>
    <xf numFmtId="0" fontId="0" fillId="2" borderId="0" xfId="0" applyFill="1"/>
    <xf numFmtId="3" fontId="0" fillId="3" borderId="0" xfId="0" applyNumberFormat="1" applyFill="1"/>
    <xf numFmtId="0" fontId="0" fillId="5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25371828521441E-2"/>
          <c:y val="5.0925925925925923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Hoja1!$A$18:$A$118</c:f>
              <c:numCache>
                <c:formatCode>General</c:formatCode>
                <c:ptCount val="10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</c:numCache>
            </c:numRef>
          </c:xVal>
          <c:yVal>
            <c:numRef>
              <c:f>Hoja1!$B$18:$B$118</c:f>
              <c:numCache>
                <c:formatCode>General</c:formatCode>
                <c:ptCount val="101"/>
                <c:pt idx="0">
                  <c:v>1</c:v>
                </c:pt>
                <c:pt idx="1">
                  <c:v>1.9116626303038293</c:v>
                </c:pt>
                <c:pt idx="2">
                  <c:v>3.3113798574601927</c:v>
                </c:pt>
                <c:pt idx="3">
                  <c:v>5.3022817949376133</c:v>
                </c:pt>
                <c:pt idx="4">
                  <c:v>7.966469478916296</c:v>
                </c:pt>
                <c:pt idx="5">
                  <c:v>11.35967972782206</c:v>
                </c:pt>
                <c:pt idx="6">
                  <c:v>15.509419468805577</c:v>
                </c:pt>
                <c:pt idx="7">
                  <c:v>20.415855912115191</c:v>
                </c:pt>
                <c:pt idx="8">
                  <c:v>26.054626480796287</c:v>
                </c:pt>
                <c:pt idx="9">
                  <c:v>32.38079094914913</c:v>
                </c:pt>
                <c:pt idx="10">
                  <c:v>39.333289338929475</c:v>
                </c:pt>
                <c:pt idx="11">
                  <c:v>46.83943208195403</c:v>
                </c:pt>
                <c:pt idx="12">
                  <c:v>54.819101181316988</c:v>
                </c:pt>
                <c:pt idx="13">
                  <c:v>63.188468148052948</c:v>
                </c:pt>
                <c:pt idx="14">
                  <c:v>71.863132515465878</c:v>
                </c:pt>
                <c:pt idx="15">
                  <c:v>80.760655451785908</c:v>
                </c:pt>
                <c:pt idx="16">
                  <c:v>89.802510565498238</c:v>
                </c:pt>
                <c:pt idx="17">
                  <c:v>98.915503270621826</c:v>
                </c:pt>
                <c:pt idx="18">
                  <c:v>108.03272565819671</c:v>
                </c:pt>
                <c:pt idx="19">
                  <c:v>117.09411966496064</c:v>
                </c:pt>
                <c:pt idx="20">
                  <c:v>126.04672063074824</c:v>
                </c:pt>
                <c:pt idx="21">
                  <c:v>134.844648540278</c:v>
                </c:pt>
                <c:pt idx="22">
                  <c:v>143.44890715348339</c:v>
                </c:pt>
                <c:pt idx="23">
                  <c:v>151.8270431126719</c:v>
                </c:pt>
                <c:pt idx="24">
                  <c:v>159.95270883171733</c:v>
                </c:pt>
                <c:pt idx="25">
                  <c:v>167.80516506726985</c:v>
                </c:pt>
                <c:pt idx="26">
                  <c:v>175.36875186228792</c:v>
                </c:pt>
                <c:pt idx="27">
                  <c:v>182.63235019565488</c:v>
                </c:pt>
                <c:pt idx="28">
                  <c:v>189.58885121742645</c:v>
                </c:pt>
                <c:pt idx="29">
                  <c:v>196.23464537662232</c:v>
                </c:pt>
                <c:pt idx="30">
                  <c:v>202.56913999466309</c:v>
                </c:pt>
                <c:pt idx="31">
                  <c:v>208.59431081738887</c:v>
                </c:pt>
                <c:pt idx="32">
                  <c:v>214.31429069786762</c:v>
                </c:pt>
                <c:pt idx="33">
                  <c:v>219.73499672637277</c:v>
                </c:pt>
                <c:pt idx="34">
                  <c:v>224.86379574350315</c:v>
                </c:pt>
                <c:pt idx="35">
                  <c:v>229.70920716602683</c:v>
                </c:pt>
                <c:pt idx="36">
                  <c:v>234.28064135072748</c:v>
                </c:pt>
                <c:pt idx="37">
                  <c:v>238.58817125720685</c:v>
                </c:pt>
                <c:pt idx="38">
                  <c:v>242.64233489363292</c:v>
                </c:pt>
                <c:pt idx="39">
                  <c:v>246.45396589596746</c:v>
                </c:pt>
                <c:pt idx="40">
                  <c:v>250.03404956525875</c:v>
                </c:pt>
                <c:pt idx="41">
                  <c:v>253.39360174000066</c:v>
                </c:pt>
                <c:pt idx="42">
                  <c:v>256.54356798806919</c:v>
                </c:pt>
                <c:pt idx="43">
                  <c:v>259.49474074703693</c:v>
                </c:pt>
                <c:pt idx="44">
                  <c:v>262.25769220853476</c:v>
                </c:pt>
                <c:pt idx="45">
                  <c:v>264.84272092095796</c:v>
                </c:pt>
                <c:pt idx="46">
                  <c:v>267.25981026711526</c:v>
                </c:pt>
                <c:pt idx="47">
                  <c:v>269.51859715350491</c:v>
                </c:pt>
                <c:pt idx="48">
                  <c:v>271.62834942161447</c:v>
                </c:pt>
                <c:pt idx="49">
                  <c:v>273.5979506561842</c:v>
                </c:pt>
                <c:pt idx="50">
                  <c:v>275.43589121899612</c:v>
                </c:pt>
                <c:pt idx="51">
                  <c:v>277.15026447849357</c:v>
                </c:pt>
                <c:pt idx="52">
                  <c:v>278.74876733503515</c:v>
                </c:pt>
                <c:pt idx="53">
                  <c:v>280.23870425890885</c:v>
                </c:pt>
                <c:pt idx="54">
                  <c:v>281.62699416374915</c:v>
                </c:pt>
                <c:pt idx="55">
                  <c:v>282.920179532286</c:v>
                </c:pt>
                <c:pt idx="56">
                  <c:v>284.1244372951254</c:v>
                </c:pt>
                <c:pt idx="57">
                  <c:v>285.24559103729325</c:v>
                </c:pt>
                <c:pt idx="58">
                  <c:v>286.2891241723878</c:v>
                </c:pt>
                <c:pt idx="59">
                  <c:v>287.26019378119116</c:v>
                </c:pt>
                <c:pt idx="60">
                  <c:v>288.16364486128691</c:v>
                </c:pt>
                <c:pt idx="61">
                  <c:v>289.00402477736969</c:v>
                </c:pt>
                <c:pt idx="62">
                  <c:v>289.7855977392324</c:v>
                </c:pt>
                <c:pt idx="63">
                  <c:v>290.51235916653167</c:v>
                </c:pt>
                <c:pt idx="64">
                  <c:v>291.18804982697367</c:v>
                </c:pt>
                <c:pt idx="65">
                  <c:v>291.81616965807996</c:v>
                </c:pt>
                <c:pt idx="66">
                  <c:v>292.39999120268607</c:v>
                </c:pt>
                <c:pt idx="67">
                  <c:v>292.94257260524421</c:v>
                </c:pt>
                <c:pt idx="68">
                  <c:v>293.44677013024551</c:v>
                </c:pt>
                <c:pt idx="69">
                  <c:v>293.91525017600179</c:v>
                </c:pt>
                <c:pt idx="70">
                  <c:v>294.35050076695046</c:v>
                </c:pt>
                <c:pt idx="71">
                  <c:v>294.75484251584373</c:v>
                </c:pt>
                <c:pt idx="72">
                  <c:v>295.13043905390174</c:v>
                </c:pt>
                <c:pt idx="73">
                  <c:v>295.47930693246172</c:v>
                </c:pt>
                <c:pt idx="74">
                  <c:v>295.8033250040275</c:v>
                </c:pt>
                <c:pt idx="75">
                  <c:v>296.10424329408198</c:v>
                </c:pt>
                <c:pt idx="76">
                  <c:v>296.38369137770565</c:v>
                </c:pt>
                <c:pt idx="77">
                  <c:v>296.64318627707377</c:v>
                </c:pt>
                <c:pt idx="78">
                  <c:v>296.88413989738717</c:v>
                </c:pt>
                <c:pt idx="79">
                  <c:v>297.10786601981533</c:v>
                </c:pt>
                <c:pt idx="80">
                  <c:v>297.31558687067894</c:v>
                </c:pt>
                <c:pt idx="81">
                  <c:v>297.50843928643343</c:v>
                </c:pt>
                <c:pt idx="82">
                  <c:v>297.68748049409646</c:v>
                </c:pt>
                <c:pt idx="83">
                  <c:v>297.85369352663679</c:v>
                </c:pt>
                <c:pt idx="84">
                  <c:v>298.00799229255267</c:v>
                </c:pt>
                <c:pt idx="85">
                  <c:v>298.15122631844804</c:v>
                </c:pt>
                <c:pt idx="86">
                  <c:v>298.28418518289521</c:v>
                </c:pt>
                <c:pt idx="87">
                  <c:v>298.40760265927628</c:v>
                </c:pt>
                <c:pt idx="88">
                  <c:v>298.52216058464569</c:v>
                </c:pt>
                <c:pt idx="89">
                  <c:v>298.62849247096631</c:v>
                </c:pt>
                <c:pt idx="90">
                  <c:v>298.72718687435969</c:v>
                </c:pt>
                <c:pt idx="91">
                  <c:v>298.81879053728574</c:v>
                </c:pt>
                <c:pt idx="92">
                  <c:v>298.90381131783948</c:v>
                </c:pt>
                <c:pt idx="93">
                  <c:v>298.98272091962974</c:v>
                </c:pt>
                <c:pt idx="94">
                  <c:v>299.05595743499333</c:v>
                </c:pt>
                <c:pt idx="95">
                  <c:v>299.12392771360192</c:v>
                </c:pt>
                <c:pt idx="96">
                  <c:v>299.18700956784255</c:v>
                </c:pt>
                <c:pt idx="97">
                  <c:v>299.24555382569883</c:v>
                </c:pt>
                <c:pt idx="98">
                  <c:v>299.29988624122967</c:v>
                </c:pt>
                <c:pt idx="99">
                  <c:v>299.35030927213876</c:v>
                </c:pt>
                <c:pt idx="100">
                  <c:v>299.39710373334975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F-4BA8-9203-10F7A5CB6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63424"/>
        <c:axId val="1865064384"/>
      </c:scatterChart>
      <c:valAx>
        <c:axId val="186506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65064384"/>
        <c:crosses val="autoZero"/>
        <c:crossBetween val="midCat"/>
      </c:valAx>
      <c:valAx>
        <c:axId val="18650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6506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Hoja1!$A$140:$A$180</c:f>
              <c:numCache>
                <c:formatCode>General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Hoja1!$B$140:$B$180</c:f>
              <c:numCache>
                <c:formatCode>General</c:formatCode>
                <c:ptCount val="41"/>
                <c:pt idx="0">
                  <c:v>0.5</c:v>
                </c:pt>
                <c:pt idx="1">
                  <c:v>1.5749013123685915</c:v>
                </c:pt>
                <c:pt idx="2">
                  <c:v>3.3840926026134639</c:v>
                </c:pt>
                <c:pt idx="3">
                  <c:v>5.635098360841643</c:v>
                </c:pt>
                <c:pt idx="4">
                  <c:v>7.9166420605013119</c:v>
                </c:pt>
                <c:pt idx="5">
                  <c:v>9.9304138538599815</c:v>
                </c:pt>
                <c:pt idx="6">
                  <c:v>11.550077744651624</c:v>
                </c:pt>
                <c:pt idx="7">
                  <c:v>12.774089275123544</c:v>
                </c:pt>
                <c:pt idx="8">
                  <c:v>13.661340207609422</c:v>
                </c:pt>
                <c:pt idx="9">
                  <c:v>14.286819124367948</c:v>
                </c:pt>
                <c:pt idx="10">
                  <c:v>14.719634953513554</c:v>
                </c:pt>
                <c:pt idx="11">
                  <c:v>15.015439037989726</c:v>
                </c:pt>
                <c:pt idx="12">
                  <c:v>15.215936905199957</c:v>
                </c:pt>
                <c:pt idx="13">
                  <c:v>15.351087288697441</c:v>
                </c:pt>
                <c:pt idx="14">
                  <c:v>15.441853792190338</c:v>
                </c:pt>
                <c:pt idx="15">
                  <c:v>15.502662752289098</c:v>
                </c:pt>
                <c:pt idx="16">
                  <c:v>15.54333503506134</c:v>
                </c:pt>
                <c:pt idx="17">
                  <c:v>15.570509154355207</c:v>
                </c:pt>
                <c:pt idx="18">
                  <c:v>15.588651622093721</c:v>
                </c:pt>
                <c:pt idx="19">
                  <c:v>15.600758343102916</c:v>
                </c:pt>
                <c:pt idx="20">
                  <c:v>15.608834713616984</c:v>
                </c:pt>
                <c:pt idx="21">
                  <c:v>15.614221283305806</c:v>
                </c:pt>
                <c:pt idx="22">
                  <c:v>15.617813362443027</c:v>
                </c:pt>
                <c:pt idx="23">
                  <c:v>15.620208540947296</c:v>
                </c:pt>
                <c:pt idx="24">
                  <c:v>15.621805530685153</c:v>
                </c:pt>
                <c:pt idx="25">
                  <c:v>15.622870281217221</c:v>
                </c:pt>
                <c:pt idx="26">
                  <c:v>15.62358015522231</c:v>
                </c:pt>
                <c:pt idx="27">
                  <c:v>15.624053422478582</c:v>
                </c:pt>
                <c:pt idx="28">
                  <c:v>15.624368941947262</c:v>
                </c:pt>
                <c:pt idx="29">
                  <c:v>15.62457929179957</c:v>
                </c:pt>
                <c:pt idx="30">
                  <c:v>15.624719526607731</c:v>
                </c:pt>
                <c:pt idx="31">
                  <c:v>15.624813017179083</c:v>
                </c:pt>
                <c:pt idx="32">
                  <c:v>15.624875344537433</c:v>
                </c:pt>
                <c:pt idx="33">
                  <c:v>15.62491689624779</c:v>
                </c:pt>
                <c:pt idx="34">
                  <c:v>15.624944597449415</c:v>
                </c:pt>
                <c:pt idx="35">
                  <c:v>15.624963064944449</c:v>
                </c:pt>
                <c:pt idx="36">
                  <c:v>15.624975376619933</c:v>
                </c:pt>
                <c:pt idx="37">
                  <c:v>15.624983584408973</c:v>
                </c:pt>
                <c:pt idx="38">
                  <c:v>15.624989056270733</c:v>
                </c:pt>
                <c:pt idx="39">
                  <c:v>15.624992704179636</c:v>
                </c:pt>
                <c:pt idx="40">
                  <c:v>15.624995136119377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3-4CC6-A604-5AE9B068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375392"/>
        <c:axId val="1862374912"/>
      </c:scatterChart>
      <c:valAx>
        <c:axId val="186237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62374912"/>
        <c:crosses val="autoZero"/>
        <c:crossBetween val="midCat"/>
      </c:valAx>
      <c:valAx>
        <c:axId val="186237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6237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6</xdr:col>
      <xdr:colOff>143527</xdr:colOff>
      <xdr:row>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0E9D4B-C813-CA31-DB0A-B08D25DC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4715527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8</xdr:col>
      <xdr:colOff>209550</xdr:colOff>
      <xdr:row>129</xdr:row>
      <xdr:rowOff>25769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35FEC-42F1-699B-16E6-1D6816A4A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60000"/>
          <a:ext cx="6305550" cy="174026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114</xdr:row>
      <xdr:rowOff>142875</xdr:rowOff>
    </xdr:from>
    <xdr:to>
      <xdr:col>20</xdr:col>
      <xdr:colOff>267482</xdr:colOff>
      <xdr:row>116</xdr:row>
      <xdr:rowOff>142928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357928-3C02-6AF3-4CC8-038DD3BD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1850" y="21859875"/>
          <a:ext cx="5601482" cy="381053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176</xdr:row>
      <xdr:rowOff>114300</xdr:rowOff>
    </xdr:from>
    <xdr:to>
      <xdr:col>18</xdr:col>
      <xdr:colOff>629375</xdr:colOff>
      <xdr:row>178</xdr:row>
      <xdr:rowOff>152458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8D1D65-8FA2-D309-FB89-F349B48F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39375" y="33642300"/>
          <a:ext cx="5191850" cy="419158"/>
        </a:xfrm>
        <a:prstGeom prst="rect">
          <a:avLst/>
        </a:prstGeom>
      </xdr:spPr>
    </xdr:pic>
    <xdr:clientData/>
  </xdr:twoCellAnchor>
  <xdr:twoCellAnchor>
    <xdr:from>
      <xdr:col>13</xdr:col>
      <xdr:colOff>28575</xdr:colOff>
      <xdr:row>97</xdr:row>
      <xdr:rowOff>147637</xdr:rowOff>
    </xdr:from>
    <xdr:to>
      <xdr:col>19</xdr:col>
      <xdr:colOff>28575</xdr:colOff>
      <xdr:row>112</xdr:row>
      <xdr:rowOff>33337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A69ADA-279E-AACB-2885-342558C2C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158</xdr:row>
      <xdr:rowOff>128587</xdr:rowOff>
    </xdr:from>
    <xdr:to>
      <xdr:col>18</xdr:col>
      <xdr:colOff>0</xdr:colOff>
      <xdr:row>173</xdr:row>
      <xdr:rowOff>14287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2420774-993F-DAC2-62EF-B70F96C9A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493F-B8BE-4841-BA40-99EAB0BD6A52}">
  <dimension ref="A1:T184"/>
  <sheetViews>
    <sheetView tabSelected="1" topLeftCell="A133" workbookViewId="0">
      <selection activeCell="M144" sqref="M144"/>
    </sheetView>
  </sheetViews>
  <sheetFormatPr baseColWidth="10" defaultRowHeight="15" x14ac:dyDescent="0.25"/>
  <cols>
    <col min="9" max="9" width="15" customWidth="1"/>
    <col min="10" max="10" width="19.7109375" customWidth="1"/>
    <col min="11" max="11" width="15.85546875" customWidth="1"/>
  </cols>
  <sheetData>
    <row r="1" spans="1:12" x14ac:dyDescent="0.25">
      <c r="A1" t="s">
        <v>0</v>
      </c>
    </row>
    <row r="11" spans="1:12" x14ac:dyDescent="0.25">
      <c r="A11" s="10" t="s">
        <v>1</v>
      </c>
      <c r="F11" s="10" t="s">
        <v>15</v>
      </c>
    </row>
    <row r="12" spans="1:12" x14ac:dyDescent="0.25">
      <c r="B12" s="2" t="s">
        <v>5</v>
      </c>
      <c r="C12" s="3">
        <v>0.3</v>
      </c>
    </row>
    <row r="13" spans="1:12" x14ac:dyDescent="0.25">
      <c r="B13" s="2" t="s">
        <v>6</v>
      </c>
      <c r="C13" s="3">
        <v>300</v>
      </c>
    </row>
    <row r="16" spans="1:12" x14ac:dyDescent="0.25">
      <c r="F16" s="7"/>
      <c r="G16" s="7"/>
      <c r="H16" s="7"/>
      <c r="I16" s="13" t="s">
        <v>9</v>
      </c>
      <c r="J16" s="13" t="s">
        <v>10</v>
      </c>
      <c r="K16" s="7"/>
      <c r="L16" s="7"/>
    </row>
    <row r="17" spans="1:12" x14ac:dyDescent="0.25">
      <c r="A17" s="4" t="s">
        <v>7</v>
      </c>
      <c r="B17" s="4" t="s">
        <v>2</v>
      </c>
      <c r="C17" s="4" t="s">
        <v>4</v>
      </c>
      <c r="D17" s="4" t="s">
        <v>3</v>
      </c>
      <c r="F17" s="4" t="s">
        <v>7</v>
      </c>
      <c r="G17" s="4" t="s">
        <v>11</v>
      </c>
      <c r="H17" s="4" t="s">
        <v>4</v>
      </c>
      <c r="I17" s="4" t="s">
        <v>12</v>
      </c>
      <c r="J17" s="4" t="s">
        <v>13</v>
      </c>
      <c r="K17" s="4" t="s">
        <v>14</v>
      </c>
      <c r="L17" s="4" t="s">
        <v>3</v>
      </c>
    </row>
    <row r="18" spans="1:12" x14ac:dyDescent="0.25">
      <c r="A18" s="3">
        <v>0</v>
      </c>
      <c r="B18" s="3">
        <v>1</v>
      </c>
      <c r="C18" s="3">
        <f>($C$12 * B18^(3/4)) * (1 - (B18/$C$13)^(1/4))</f>
        <v>0.22791565757595736</v>
      </c>
      <c r="D18" s="3">
        <v>4</v>
      </c>
      <c r="F18" s="3">
        <v>0</v>
      </c>
      <c r="G18" s="3">
        <v>1</v>
      </c>
      <c r="H18" s="3">
        <f>$C$12*G18^(3/4)*(1-(G18/$C$13)^(1/4))</f>
        <v>0.22791565757595736</v>
      </c>
      <c r="I18" s="3">
        <f t="shared" ref="I18:I28" si="0">G18+$L$18*H18</f>
        <v>1.9116626303038293</v>
      </c>
      <c r="J18" s="3">
        <f>$C$12*I18^(3/4)*(1-(I18/$C$13)^(1/4))</f>
        <v>0.34992930678909084</v>
      </c>
      <c r="K18" s="3">
        <f t="shared" ref="K18:K28" si="1">G18+($L$18/2)*(H18+J18)</f>
        <v>2.1556899287300961</v>
      </c>
      <c r="L18" s="3">
        <v>4</v>
      </c>
    </row>
    <row r="19" spans="1:12" x14ac:dyDescent="0.25">
      <c r="A19" s="3">
        <f>A18+$D$18</f>
        <v>4</v>
      </c>
      <c r="B19" s="3">
        <f>B18+$D$18*C18</f>
        <v>1.9116626303038293</v>
      </c>
      <c r="C19" s="3">
        <f>($C$12 * B19^(3/4)) * (1 - (B19/$C$13)^(1/4))</f>
        <v>0.34992930678909084</v>
      </c>
      <c r="D19" s="3"/>
      <c r="F19" s="3">
        <f t="shared" ref="F19:F28" si="2">F18+$L$18</f>
        <v>4</v>
      </c>
      <c r="G19" s="3">
        <f>K18</f>
        <v>2.1556899287300961</v>
      </c>
      <c r="H19" s="3">
        <f>$C$12*G19^(3/4)*(1-(G19/$C$13)^(1/4))</f>
        <v>0.37832543289234882</v>
      </c>
      <c r="I19" s="3">
        <f t="shared" si="0"/>
        <v>3.6689916602994916</v>
      </c>
      <c r="J19" s="3">
        <f>$C$12*I19^(3/4)*(1-(I19/$C$13)^(1/4))</f>
        <v>0.53082372695796254</v>
      </c>
      <c r="K19" s="3">
        <f t="shared" si="1"/>
        <v>3.973988248430719</v>
      </c>
      <c r="L19" s="3"/>
    </row>
    <row r="20" spans="1:12" x14ac:dyDescent="0.25">
      <c r="A20" s="3">
        <f t="shared" ref="A20:A27" si="3">A19+$D$18</f>
        <v>8</v>
      </c>
      <c r="B20" s="3">
        <f t="shared" ref="B20:B27" si="4">B19+$D$18*C19</f>
        <v>3.3113798574601927</v>
      </c>
      <c r="C20" s="3">
        <f t="shared" ref="C20:C83" si="5">($C$12 * B20^(3/4)) * (1 - (B20/$C$13)^(1/4))</f>
        <v>0.49772548436935504</v>
      </c>
      <c r="D20" s="3"/>
      <c r="F20" s="3">
        <f t="shared" si="2"/>
        <v>8</v>
      </c>
      <c r="G20" s="3">
        <f t="shared" ref="G20:G23" si="6">K19</f>
        <v>3.973988248430719</v>
      </c>
      <c r="H20" s="3">
        <f t="shared" ref="H20:H83" si="7">$C$12*G20^(3/4)*(1-(G20/$C$13)^(1/4))</f>
        <v>0.55792399024743167</v>
      </c>
      <c r="I20" s="3">
        <f t="shared" si="0"/>
        <v>6.2056842094204452</v>
      </c>
      <c r="J20" s="3">
        <f t="shared" ref="J20:J83" si="8">$C$12*I20^(3/4)*(1-(I20/$C$13)^(1/4))</f>
        <v>0.73220960357528053</v>
      </c>
      <c r="K20" s="3">
        <f t="shared" si="1"/>
        <v>6.5542554360761436</v>
      </c>
      <c r="L20" s="3"/>
    </row>
    <row r="21" spans="1:12" x14ac:dyDescent="0.25">
      <c r="A21" s="3">
        <f t="shared" si="3"/>
        <v>12</v>
      </c>
      <c r="B21" s="3">
        <f t="shared" si="4"/>
        <v>5.3022817949376133</v>
      </c>
      <c r="C21" s="3">
        <f t="shared" si="5"/>
        <v>0.66604692099467067</v>
      </c>
      <c r="D21" s="3"/>
      <c r="F21" s="3">
        <f t="shared" si="2"/>
        <v>12</v>
      </c>
      <c r="G21" s="3">
        <f t="shared" si="6"/>
        <v>6.5542554360761436</v>
      </c>
      <c r="H21" s="3">
        <f t="shared" si="7"/>
        <v>0.75643297635723283</v>
      </c>
      <c r="I21" s="3">
        <f t="shared" si="0"/>
        <v>9.579987341505074</v>
      </c>
      <c r="J21" s="3">
        <f t="shared" si="8"/>
        <v>0.94303002095132005</v>
      </c>
      <c r="K21" s="3">
        <f t="shared" si="1"/>
        <v>9.9531814306932489</v>
      </c>
      <c r="L21" s="3"/>
    </row>
    <row r="22" spans="1:12" x14ac:dyDescent="0.25">
      <c r="A22" s="3">
        <f t="shared" si="3"/>
        <v>16</v>
      </c>
      <c r="B22" s="3">
        <f t="shared" si="4"/>
        <v>7.966469478916296</v>
      </c>
      <c r="C22" s="3">
        <f t="shared" si="5"/>
        <v>0.84830256222644118</v>
      </c>
      <c r="D22" s="3"/>
      <c r="F22" s="3">
        <f t="shared" si="2"/>
        <v>16</v>
      </c>
      <c r="G22" s="3">
        <f t="shared" si="6"/>
        <v>9.9531814306932489</v>
      </c>
      <c r="H22" s="3">
        <f t="shared" si="7"/>
        <v>0.96362815986218509</v>
      </c>
      <c r="I22" s="3">
        <f t="shared" si="0"/>
        <v>13.80769407014199</v>
      </c>
      <c r="J22" s="3">
        <f t="shared" si="8"/>
        <v>1.1535612442928433</v>
      </c>
      <c r="K22" s="3">
        <f t="shared" si="1"/>
        <v>14.187560239003306</v>
      </c>
      <c r="L22" s="3"/>
    </row>
    <row r="23" spans="1:12" x14ac:dyDescent="0.25">
      <c r="A23" s="3">
        <f t="shared" si="3"/>
        <v>20</v>
      </c>
      <c r="B23" s="3">
        <f t="shared" si="4"/>
        <v>11.35967972782206</v>
      </c>
      <c r="C23" s="3">
        <f t="shared" si="5"/>
        <v>1.0374349352458792</v>
      </c>
      <c r="D23" s="3"/>
      <c r="F23" s="3">
        <f t="shared" si="2"/>
        <v>20</v>
      </c>
      <c r="G23" s="3">
        <f t="shared" si="6"/>
        <v>14.187560239003306</v>
      </c>
      <c r="H23" s="3">
        <f t="shared" si="7"/>
        <v>1.1703667750686151</v>
      </c>
      <c r="I23" s="3">
        <f t="shared" si="0"/>
        <v>18.869027339277764</v>
      </c>
      <c r="J23" s="3">
        <f t="shared" si="8"/>
        <v>1.3558612385540201</v>
      </c>
      <c r="K23" s="3">
        <f t="shared" si="1"/>
        <v>19.240016266248574</v>
      </c>
      <c r="L23" s="3"/>
    </row>
    <row r="24" spans="1:12" x14ac:dyDescent="0.25">
      <c r="A24" s="3">
        <f t="shared" si="3"/>
        <v>24</v>
      </c>
      <c r="B24" s="3">
        <f t="shared" si="4"/>
        <v>15.509419468805577</v>
      </c>
      <c r="C24" s="3">
        <f t="shared" si="5"/>
        <v>1.2266091108274038</v>
      </c>
      <c r="D24" s="3"/>
      <c r="F24" s="3">
        <f t="shared" si="2"/>
        <v>24</v>
      </c>
      <c r="G24" s="3">
        <f>K23</f>
        <v>19.240016266248574</v>
      </c>
      <c r="H24" s="3">
        <f>$C$12*G24^(3/4)*(1-(G24/$C$13)^(1/4))</f>
        <v>1.3690714421500871</v>
      </c>
      <c r="I24" s="3">
        <f t="shared" si="0"/>
        <v>24.716302034848923</v>
      </c>
      <c r="J24" s="3">
        <f>$C$12*I24^(3/4)*(1-(I24/$C$13)^(1/4))</f>
        <v>1.5438563441364967</v>
      </c>
      <c r="K24" s="3">
        <f t="shared" si="1"/>
        <v>25.065871838821742</v>
      </c>
      <c r="L24" s="3"/>
    </row>
    <row r="25" spans="1:12" x14ac:dyDescent="0.25">
      <c r="A25" s="3">
        <f t="shared" si="3"/>
        <v>28</v>
      </c>
      <c r="B25" s="3">
        <f t="shared" si="4"/>
        <v>20.415855912115191</v>
      </c>
      <c r="C25" s="3">
        <f t="shared" si="5"/>
        <v>1.4096926421702736</v>
      </c>
      <c r="D25" s="3"/>
      <c r="F25" s="3">
        <f t="shared" si="2"/>
        <v>28</v>
      </c>
      <c r="G25" s="3">
        <f t="shared" ref="G25:G28" si="9">K24</f>
        <v>25.065871838821742</v>
      </c>
      <c r="H25" s="3">
        <f t="shared" si="7"/>
        <v>1.5538711227122819</v>
      </c>
      <c r="I25" s="3">
        <f t="shared" si="0"/>
        <v>31.281356329670871</v>
      </c>
      <c r="J25" s="3">
        <f t="shared" si="8"/>
        <v>1.7132298380088364</v>
      </c>
      <c r="K25" s="3">
        <f t="shared" si="1"/>
        <v>31.600073760263978</v>
      </c>
      <c r="L25" s="3"/>
    </row>
    <row r="26" spans="1:12" x14ac:dyDescent="0.25">
      <c r="A26" s="3">
        <f t="shared" si="3"/>
        <v>32</v>
      </c>
      <c r="B26" s="3">
        <f t="shared" si="4"/>
        <v>26.054626480796287</v>
      </c>
      <c r="C26" s="3">
        <f t="shared" si="5"/>
        <v>1.5815411170882108</v>
      </c>
      <c r="D26" s="3"/>
      <c r="F26" s="3">
        <f t="shared" si="2"/>
        <v>32</v>
      </c>
      <c r="G26" s="3">
        <f t="shared" si="9"/>
        <v>31.600073760263978</v>
      </c>
      <c r="H26" s="3">
        <f t="shared" si="7"/>
        <v>1.7205394810728127</v>
      </c>
      <c r="I26" s="3">
        <f t="shared" si="0"/>
        <v>38.482231684555231</v>
      </c>
      <c r="J26" s="3">
        <f t="shared" si="8"/>
        <v>1.8612119074790259</v>
      </c>
      <c r="K26" s="3">
        <f t="shared" si="1"/>
        <v>38.763576537367655</v>
      </c>
      <c r="L26" s="3"/>
    </row>
    <row r="27" spans="1:12" x14ac:dyDescent="0.25">
      <c r="A27" s="3">
        <f t="shared" si="3"/>
        <v>36</v>
      </c>
      <c r="B27" s="3">
        <f t="shared" si="4"/>
        <v>32.38079094914913</v>
      </c>
      <c r="C27" s="3">
        <f t="shared" si="5"/>
        <v>1.7381245974450861</v>
      </c>
      <c r="D27" s="3"/>
      <c r="F27" s="3">
        <f t="shared" si="2"/>
        <v>36</v>
      </c>
      <c r="G27" s="3">
        <f t="shared" si="9"/>
        <v>38.763576537367655</v>
      </c>
      <c r="H27" s="3">
        <f t="shared" si="7"/>
        <v>1.8663241469455329</v>
      </c>
      <c r="I27" s="3">
        <f t="shared" si="0"/>
        <v>46.228873125149789</v>
      </c>
      <c r="J27" s="3">
        <f t="shared" si="8"/>
        <v>1.9863311471459693</v>
      </c>
      <c r="K27" s="3">
        <f t="shared" si="1"/>
        <v>46.468887125550658</v>
      </c>
      <c r="L27" s="3"/>
    </row>
    <row r="28" spans="1:12" x14ac:dyDescent="0.25">
      <c r="A28" s="3">
        <f t="shared" ref="A28:A48" si="10">A27+$D$18</f>
        <v>40</v>
      </c>
      <c r="B28" s="3">
        <f t="shared" ref="B28:B48" si="11">B27+$D$18*C27</f>
        <v>39.333289338929475</v>
      </c>
      <c r="C28" s="3">
        <f t="shared" si="5"/>
        <v>1.8765356857561393</v>
      </c>
      <c r="D28" s="3"/>
      <c r="F28" s="3">
        <f t="shared" si="2"/>
        <v>40</v>
      </c>
      <c r="G28" s="3">
        <f t="shared" si="9"/>
        <v>46.468887125550658</v>
      </c>
      <c r="H28" s="3">
        <f t="shared" si="7"/>
        <v>1.9897269927033907</v>
      </c>
      <c r="I28" s="3">
        <f t="shared" si="0"/>
        <v>54.427795096364221</v>
      </c>
      <c r="J28" s="3">
        <f t="shared" si="8"/>
        <v>2.0881629833391169</v>
      </c>
      <c r="K28" s="3">
        <f t="shared" si="1"/>
        <v>54.624667077635678</v>
      </c>
      <c r="L28" s="3"/>
    </row>
    <row r="29" spans="1:12" x14ac:dyDescent="0.25">
      <c r="A29" s="3">
        <f t="shared" si="10"/>
        <v>44</v>
      </c>
      <c r="B29" s="3">
        <f t="shared" si="11"/>
        <v>46.83943208195403</v>
      </c>
      <c r="C29" s="3">
        <f t="shared" si="5"/>
        <v>1.9949172748407396</v>
      </c>
      <c r="D29" s="3"/>
      <c r="F29" s="3">
        <f t="shared" ref="F29:F92" si="12">F28+$L$18</f>
        <v>44</v>
      </c>
      <c r="G29" s="3">
        <f t="shared" ref="G29:G92" si="13">K28</f>
        <v>54.624667077635678</v>
      </c>
      <c r="H29" s="3">
        <f t="shared" si="7"/>
        <v>2.0902726292982092</v>
      </c>
      <c r="I29" s="3">
        <f t="shared" ref="I29:I92" si="14">G29+$L$18*H29</f>
        <v>62.985757594828513</v>
      </c>
      <c r="J29" s="3">
        <f t="shared" si="8"/>
        <v>2.1670947995944885</v>
      </c>
      <c r="K29" s="3">
        <f t="shared" ref="K29:K92" si="15">G29+($L$18/2)*(H29+J29)</f>
        <v>63.139401935421077</v>
      </c>
      <c r="L29" s="3"/>
    </row>
    <row r="30" spans="1:12" x14ac:dyDescent="0.25">
      <c r="A30" s="3">
        <f t="shared" si="10"/>
        <v>48</v>
      </c>
      <c r="B30" s="3">
        <f t="shared" si="11"/>
        <v>54.819101181316988</v>
      </c>
      <c r="C30" s="3">
        <f t="shared" si="5"/>
        <v>2.0923417416839896</v>
      </c>
      <c r="D30" s="3"/>
      <c r="F30" s="3">
        <f t="shared" si="12"/>
        <v>48</v>
      </c>
      <c r="G30" s="3">
        <f t="shared" si="13"/>
        <v>63.139401935421077</v>
      </c>
      <c r="H30" s="3">
        <f t="shared" si="7"/>
        <v>2.168286951716329</v>
      </c>
      <c r="I30" s="3">
        <f t="shared" si="14"/>
        <v>71.812549742286393</v>
      </c>
      <c r="J30" s="3">
        <f t="shared" si="8"/>
        <v>2.2241176794750324</v>
      </c>
      <c r="K30" s="3">
        <f t="shared" si="15"/>
        <v>71.9242111978038</v>
      </c>
      <c r="L30" s="3"/>
    </row>
    <row r="31" spans="1:12" x14ac:dyDescent="0.25">
      <c r="A31" s="3">
        <f t="shared" si="10"/>
        <v>52</v>
      </c>
      <c r="B31" s="3">
        <f t="shared" si="11"/>
        <v>63.188468148052948</v>
      </c>
      <c r="C31" s="3">
        <f t="shared" si="5"/>
        <v>2.1686660918532317</v>
      </c>
      <c r="D31" s="3"/>
      <c r="F31" s="3">
        <f t="shared" si="12"/>
        <v>52</v>
      </c>
      <c r="G31" s="3">
        <f t="shared" si="13"/>
        <v>71.9242111978038</v>
      </c>
      <c r="H31" s="3">
        <f t="shared" si="7"/>
        <v>2.2246974557325676</v>
      </c>
      <c r="I31" s="3">
        <f t="shared" si="14"/>
        <v>80.823001020734068</v>
      </c>
      <c r="J31" s="3">
        <f t="shared" si="8"/>
        <v>2.2606485659323727</v>
      </c>
      <c r="K31" s="3">
        <f t="shared" si="15"/>
        <v>80.894903241133676</v>
      </c>
      <c r="L31" s="3"/>
    </row>
    <row r="32" spans="1:12" x14ac:dyDescent="0.25">
      <c r="A32" s="3">
        <f t="shared" si="10"/>
        <v>56</v>
      </c>
      <c r="B32" s="3">
        <f t="shared" si="11"/>
        <v>71.863132515465878</v>
      </c>
      <c r="C32" s="3">
        <f t="shared" si="5"/>
        <v>2.2243807340800079</v>
      </c>
      <c r="D32" s="3"/>
      <c r="F32" s="3">
        <f t="shared" si="12"/>
        <v>56</v>
      </c>
      <c r="G32" s="3">
        <f t="shared" si="13"/>
        <v>80.894903241133676</v>
      </c>
      <c r="H32" s="3">
        <f t="shared" si="7"/>
        <v>2.2608605584051902</v>
      </c>
      <c r="I32" s="3">
        <f t="shared" si="14"/>
        <v>89.938345474754442</v>
      </c>
      <c r="J32" s="3">
        <f t="shared" si="8"/>
        <v>2.278382959397439</v>
      </c>
      <c r="K32" s="3">
        <f t="shared" si="15"/>
        <v>89.97339027673894</v>
      </c>
      <c r="L32" s="3"/>
    </row>
    <row r="33" spans="1:12" x14ac:dyDescent="0.25">
      <c r="A33" s="3">
        <f t="shared" si="10"/>
        <v>60</v>
      </c>
      <c r="B33" s="3">
        <f t="shared" si="11"/>
        <v>80.760655451785908</v>
      </c>
      <c r="C33" s="3">
        <f t="shared" si="5"/>
        <v>2.2604637784280817</v>
      </c>
      <c r="D33" s="3"/>
      <c r="F33" s="3">
        <f t="shared" si="12"/>
        <v>60</v>
      </c>
      <c r="G33" s="3">
        <f t="shared" si="13"/>
        <v>89.97339027673894</v>
      </c>
      <c r="H33" s="3">
        <f t="shared" si="7"/>
        <v>2.2784171244566447</v>
      </c>
      <c r="I33" s="3">
        <f t="shared" si="14"/>
        <v>99.08705877456552</v>
      </c>
      <c r="J33" s="3">
        <f t="shared" si="8"/>
        <v>2.2791761883288575</v>
      </c>
      <c r="K33" s="3">
        <f t="shared" si="15"/>
        <v>99.088576902309939</v>
      </c>
      <c r="L33" s="3"/>
    </row>
    <row r="34" spans="1:12" x14ac:dyDescent="0.25">
      <c r="A34" s="3">
        <f t="shared" si="10"/>
        <v>64</v>
      </c>
      <c r="B34" s="3">
        <f t="shared" si="11"/>
        <v>89.802510565498238</v>
      </c>
      <c r="C34" s="3">
        <f t="shared" si="5"/>
        <v>2.2782481762808953</v>
      </c>
      <c r="D34" s="3"/>
      <c r="F34" s="3">
        <f t="shared" si="12"/>
        <v>64</v>
      </c>
      <c r="G34" s="3">
        <f t="shared" si="13"/>
        <v>99.088576902309939</v>
      </c>
      <c r="H34" s="3">
        <f t="shared" si="7"/>
        <v>2.2791750195125968</v>
      </c>
      <c r="I34" s="3">
        <f t="shared" si="14"/>
        <v>108.20527698036032</v>
      </c>
      <c r="J34" s="3">
        <f t="shared" si="8"/>
        <v>2.2649502206792005</v>
      </c>
      <c r="K34" s="3">
        <f t="shared" si="15"/>
        <v>108.17682738269353</v>
      </c>
      <c r="L34" s="3"/>
    </row>
    <row r="35" spans="1:12" x14ac:dyDescent="0.25">
      <c r="A35" s="3">
        <f t="shared" si="10"/>
        <v>68</v>
      </c>
      <c r="B35" s="3">
        <f t="shared" si="11"/>
        <v>98.915503270621826</v>
      </c>
      <c r="C35" s="3">
        <f t="shared" si="5"/>
        <v>2.2793055968937228</v>
      </c>
      <c r="D35" s="3"/>
      <c r="F35" s="3">
        <f t="shared" si="12"/>
        <v>68</v>
      </c>
      <c r="G35" s="3">
        <f t="shared" si="13"/>
        <v>108.17682738269353</v>
      </c>
      <c r="H35" s="3">
        <f t="shared" si="7"/>
        <v>2.2650162183652749</v>
      </c>
      <c r="I35" s="3">
        <f t="shared" si="14"/>
        <v>117.23689225615463</v>
      </c>
      <c r="J35" s="3">
        <f t="shared" si="8"/>
        <v>2.2376225653230577</v>
      </c>
      <c r="K35" s="3">
        <f t="shared" si="15"/>
        <v>117.1821049500702</v>
      </c>
      <c r="L35" s="3"/>
    </row>
    <row r="36" spans="1:12" x14ac:dyDescent="0.25">
      <c r="A36" s="3">
        <f t="shared" si="10"/>
        <v>72</v>
      </c>
      <c r="B36" s="3">
        <f t="shared" si="11"/>
        <v>108.03272565819671</v>
      </c>
      <c r="C36" s="3">
        <f t="shared" si="5"/>
        <v>2.2653485016909838</v>
      </c>
      <c r="D36" s="3"/>
      <c r="F36" s="3">
        <f t="shared" si="12"/>
        <v>72</v>
      </c>
      <c r="G36" s="3">
        <f t="shared" si="13"/>
        <v>117.1821049500702</v>
      </c>
      <c r="H36" s="3">
        <f t="shared" si="7"/>
        <v>2.2378254065297347</v>
      </c>
      <c r="I36" s="3">
        <f t="shared" si="14"/>
        <v>126.13340657618913</v>
      </c>
      <c r="J36" s="3">
        <f t="shared" si="8"/>
        <v>2.1990537874088907</v>
      </c>
      <c r="K36" s="3">
        <f t="shared" si="15"/>
        <v>126.05586333794744</v>
      </c>
      <c r="L36" s="3"/>
    </row>
    <row r="37" spans="1:12" x14ac:dyDescent="0.25">
      <c r="A37" s="3">
        <f t="shared" si="10"/>
        <v>76</v>
      </c>
      <c r="B37" s="3">
        <f t="shared" si="11"/>
        <v>117.09411966496064</v>
      </c>
      <c r="C37" s="3">
        <f t="shared" si="5"/>
        <v>2.2381502414468972</v>
      </c>
      <c r="D37" s="3"/>
      <c r="F37" s="3">
        <f t="shared" si="12"/>
        <v>76</v>
      </c>
      <c r="G37" s="3">
        <f t="shared" si="13"/>
        <v>126.05586333794744</v>
      </c>
      <c r="H37" s="3">
        <f t="shared" si="7"/>
        <v>2.1994368636761119</v>
      </c>
      <c r="I37" s="3">
        <f t="shared" si="14"/>
        <v>134.85361079265189</v>
      </c>
      <c r="J37" s="3">
        <f t="shared" si="8"/>
        <v>2.1510103643928868</v>
      </c>
      <c r="K37" s="3">
        <f t="shared" si="15"/>
        <v>134.75675779408544</v>
      </c>
      <c r="L37" s="3"/>
    </row>
    <row r="38" spans="1:12" x14ac:dyDescent="0.25">
      <c r="A38" s="3">
        <f t="shared" si="10"/>
        <v>80</v>
      </c>
      <c r="B38" s="3">
        <f t="shared" si="11"/>
        <v>126.04672063074824</v>
      </c>
      <c r="C38" s="3">
        <f t="shared" si="5"/>
        <v>2.1994819773824377</v>
      </c>
      <c r="D38" s="3"/>
      <c r="F38" s="3">
        <f t="shared" si="12"/>
        <v>80</v>
      </c>
      <c r="G38" s="3">
        <f t="shared" si="13"/>
        <v>134.75675779408544</v>
      </c>
      <c r="H38" s="3">
        <f t="shared" si="7"/>
        <v>2.1515965309811929</v>
      </c>
      <c r="I38" s="3">
        <f t="shared" si="14"/>
        <v>143.36314391801022</v>
      </c>
      <c r="J38" s="3">
        <f t="shared" si="8"/>
        <v>2.0951399314859578</v>
      </c>
      <c r="K38" s="3">
        <f t="shared" si="15"/>
        <v>143.25023071901975</v>
      </c>
      <c r="L38" s="3"/>
    </row>
    <row r="39" spans="1:12" x14ac:dyDescent="0.25">
      <c r="A39" s="3">
        <f t="shared" si="10"/>
        <v>84</v>
      </c>
      <c r="B39" s="3">
        <f t="shared" si="11"/>
        <v>134.844648540278</v>
      </c>
      <c r="C39" s="3">
        <f t="shared" si="5"/>
        <v>2.1510646533013476</v>
      </c>
      <c r="D39" s="3"/>
      <c r="F39" s="3">
        <f t="shared" si="12"/>
        <v>84</v>
      </c>
      <c r="G39" s="3">
        <f t="shared" si="13"/>
        <v>143.25023071901975</v>
      </c>
      <c r="H39" s="3">
        <f t="shared" si="7"/>
        <v>2.0959364234479891</v>
      </c>
      <c r="I39" s="3">
        <f t="shared" si="14"/>
        <v>151.63397641281171</v>
      </c>
      <c r="J39" s="3">
        <f t="shared" si="8"/>
        <v>2.0329563368824308</v>
      </c>
      <c r="K39" s="3">
        <f t="shared" si="15"/>
        <v>151.50801623968059</v>
      </c>
      <c r="L39" s="3"/>
    </row>
    <row r="40" spans="1:12" x14ac:dyDescent="0.25">
      <c r="A40" s="3">
        <f t="shared" si="10"/>
        <v>88</v>
      </c>
      <c r="B40" s="3">
        <f t="shared" si="11"/>
        <v>143.44890715348339</v>
      </c>
      <c r="C40" s="3">
        <f t="shared" si="5"/>
        <v>2.0945339897971316</v>
      </c>
      <c r="D40" s="3"/>
      <c r="F40" s="3">
        <f t="shared" si="12"/>
        <v>88</v>
      </c>
      <c r="G40" s="3">
        <f t="shared" si="13"/>
        <v>151.50801623968059</v>
      </c>
      <c r="H40" s="3">
        <f t="shared" si="7"/>
        <v>2.0339588762474476</v>
      </c>
      <c r="I40" s="3">
        <f t="shared" si="14"/>
        <v>159.64385174467037</v>
      </c>
      <c r="J40" s="3">
        <f t="shared" si="8"/>
        <v>1.9658323053952969</v>
      </c>
      <c r="K40" s="3">
        <f t="shared" si="15"/>
        <v>159.50759860296608</v>
      </c>
      <c r="L40" s="3"/>
    </row>
    <row r="41" spans="1:12" x14ac:dyDescent="0.25">
      <c r="A41" s="3">
        <f t="shared" si="10"/>
        <v>92</v>
      </c>
      <c r="B41" s="3">
        <f t="shared" si="11"/>
        <v>151.8270431126719</v>
      </c>
      <c r="C41" s="3">
        <f t="shared" si="5"/>
        <v>2.0314164297613599</v>
      </c>
      <c r="D41" s="3"/>
      <c r="F41" s="3">
        <f t="shared" si="12"/>
        <v>92</v>
      </c>
      <c r="G41" s="3">
        <f t="shared" si="13"/>
        <v>159.50759860296608</v>
      </c>
      <c r="H41" s="3">
        <f t="shared" si="7"/>
        <v>1.9670284627234835</v>
      </c>
      <c r="I41" s="3">
        <f t="shared" si="14"/>
        <v>167.37571245386002</v>
      </c>
      <c r="J41" s="3">
        <f t="shared" si="8"/>
        <v>1.8949978686652291</v>
      </c>
      <c r="K41" s="3">
        <f t="shared" si="15"/>
        <v>167.23165126574352</v>
      </c>
      <c r="L41" s="3"/>
    </row>
    <row r="42" spans="1:12" x14ac:dyDescent="0.25">
      <c r="A42" s="3">
        <f t="shared" si="10"/>
        <v>96</v>
      </c>
      <c r="B42" s="3">
        <f t="shared" si="11"/>
        <v>159.95270883171733</v>
      </c>
      <c r="C42" s="3">
        <f t="shared" si="5"/>
        <v>1.9631140588881335</v>
      </c>
      <c r="D42" s="3"/>
      <c r="F42" s="3">
        <f t="shared" si="12"/>
        <v>96</v>
      </c>
      <c r="G42" s="3">
        <f t="shared" si="13"/>
        <v>167.23165126574352</v>
      </c>
      <c r="H42" s="3">
        <f t="shared" si="7"/>
        <v>1.8963697615224604</v>
      </c>
      <c r="I42" s="3">
        <f t="shared" si="14"/>
        <v>174.81713031183335</v>
      </c>
      <c r="J42" s="3">
        <f t="shared" si="8"/>
        <v>1.8215430472972052</v>
      </c>
      <c r="K42" s="3">
        <f t="shared" si="15"/>
        <v>174.66747688338285</v>
      </c>
      <c r="L42" s="3"/>
    </row>
    <row r="43" spans="1:12" x14ac:dyDescent="0.25">
      <c r="A43" s="3">
        <f t="shared" si="10"/>
        <v>100</v>
      </c>
      <c r="B43" s="3">
        <f t="shared" si="11"/>
        <v>167.80516506726985</v>
      </c>
      <c r="C43" s="3">
        <f t="shared" si="5"/>
        <v>1.8908966987545153</v>
      </c>
      <c r="D43" s="3"/>
      <c r="F43" s="3">
        <f t="shared" si="12"/>
        <v>100</v>
      </c>
      <c r="G43" s="3">
        <f t="shared" si="13"/>
        <v>174.66747688338285</v>
      </c>
      <c r="H43" s="3">
        <f t="shared" si="7"/>
        <v>1.8230694647652126</v>
      </c>
      <c r="I43" s="3">
        <f t="shared" si="14"/>
        <v>181.95975474244369</v>
      </c>
      <c r="J43" s="3">
        <f t="shared" si="8"/>
        <v>1.7464235590279571</v>
      </c>
      <c r="K43" s="3">
        <f t="shared" si="15"/>
        <v>181.80646293096919</v>
      </c>
      <c r="L43" s="3"/>
    </row>
    <row r="44" spans="1:12" x14ac:dyDescent="0.25">
      <c r="A44" s="3">
        <f t="shared" si="10"/>
        <v>104</v>
      </c>
      <c r="B44" s="3">
        <f t="shared" si="11"/>
        <v>175.36875186228792</v>
      </c>
      <c r="C44" s="3">
        <f t="shared" si="5"/>
        <v>1.8158995833417417</v>
      </c>
      <c r="D44" s="3"/>
      <c r="F44" s="3">
        <f t="shared" si="12"/>
        <v>104</v>
      </c>
      <c r="G44" s="3">
        <f t="shared" si="13"/>
        <v>181.80646293096919</v>
      </c>
      <c r="H44" s="3">
        <f t="shared" si="7"/>
        <v>1.7480816000460717</v>
      </c>
      <c r="I44" s="3">
        <f t="shared" si="14"/>
        <v>188.79878933115347</v>
      </c>
      <c r="J44" s="3">
        <f t="shared" si="8"/>
        <v>1.6704685760041791</v>
      </c>
      <c r="K44" s="3">
        <f t="shared" si="15"/>
        <v>188.64356328306968</v>
      </c>
      <c r="L44" s="3"/>
    </row>
    <row r="45" spans="1:12" x14ac:dyDescent="0.25">
      <c r="A45" s="3">
        <f t="shared" si="10"/>
        <v>108</v>
      </c>
      <c r="B45" s="3">
        <f t="shared" si="11"/>
        <v>182.63235019565488</v>
      </c>
      <c r="C45" s="3">
        <f t="shared" si="5"/>
        <v>1.739125255442892</v>
      </c>
      <c r="D45" s="3"/>
      <c r="F45" s="3">
        <f t="shared" si="12"/>
        <v>108</v>
      </c>
      <c r="G45" s="3">
        <f t="shared" si="13"/>
        <v>188.64356328306968</v>
      </c>
      <c r="H45" s="3">
        <f t="shared" si="7"/>
        <v>1.6722348834411085</v>
      </c>
      <c r="I45" s="3">
        <f t="shared" si="14"/>
        <v>195.33250281683411</v>
      </c>
      <c r="J45" s="3">
        <f t="shared" si="8"/>
        <v>1.5943897649641925</v>
      </c>
      <c r="K45" s="3">
        <f t="shared" si="15"/>
        <v>195.17681257988028</v>
      </c>
      <c r="L45" s="3"/>
    </row>
    <row r="46" spans="1:12" x14ac:dyDescent="0.25">
      <c r="A46" s="3">
        <f t="shared" si="10"/>
        <v>112</v>
      </c>
      <c r="B46" s="3">
        <f t="shared" si="11"/>
        <v>189.58885121742645</v>
      </c>
      <c r="C46" s="3">
        <f t="shared" si="5"/>
        <v>1.66144853979897</v>
      </c>
      <c r="D46" s="3"/>
      <c r="F46" s="3">
        <f t="shared" si="12"/>
        <v>112</v>
      </c>
      <c r="G46" s="3">
        <f t="shared" si="13"/>
        <v>195.17681257988028</v>
      </c>
      <c r="H46" s="3">
        <f t="shared" si="7"/>
        <v>1.5962414290497706</v>
      </c>
      <c r="I46" s="3">
        <f t="shared" si="14"/>
        <v>201.56177829607935</v>
      </c>
      <c r="J46" s="3">
        <f t="shared" si="8"/>
        <v>1.5187910196525709</v>
      </c>
      <c r="K46" s="3">
        <f t="shared" si="15"/>
        <v>201.40687747728495</v>
      </c>
      <c r="L46" s="3"/>
    </row>
    <row r="47" spans="1:12" x14ac:dyDescent="0.25">
      <c r="A47" s="3">
        <f t="shared" si="10"/>
        <v>116</v>
      </c>
      <c r="B47" s="3">
        <f t="shared" si="11"/>
        <v>196.23464537662232</v>
      </c>
      <c r="C47" s="3">
        <f t="shared" si="5"/>
        <v>1.5836236545101916</v>
      </c>
      <c r="D47" s="3"/>
      <c r="F47" s="3">
        <f t="shared" si="12"/>
        <v>116</v>
      </c>
      <c r="G47" s="3">
        <f t="shared" si="13"/>
        <v>201.40687747728495</v>
      </c>
      <c r="H47" s="3">
        <f t="shared" si="7"/>
        <v>1.5207062151972477</v>
      </c>
      <c r="I47" s="3">
        <f t="shared" si="14"/>
        <v>207.48970233807395</v>
      </c>
      <c r="J47" s="3">
        <f t="shared" si="8"/>
        <v>1.444178438997552</v>
      </c>
      <c r="K47" s="3">
        <f t="shared" si="15"/>
        <v>207.33664678567456</v>
      </c>
      <c r="L47" s="3"/>
    </row>
    <row r="48" spans="1:12" x14ac:dyDescent="0.25">
      <c r="A48" s="3">
        <f t="shared" si="10"/>
        <v>120</v>
      </c>
      <c r="B48" s="3">
        <f t="shared" si="11"/>
        <v>202.56913999466309</v>
      </c>
      <c r="C48" s="3">
        <f t="shared" si="5"/>
        <v>1.5062927056814439</v>
      </c>
      <c r="D48" s="3"/>
      <c r="F48" s="3">
        <f t="shared" si="12"/>
        <v>120</v>
      </c>
      <c r="G48" s="3">
        <f t="shared" si="13"/>
        <v>207.33664678567456</v>
      </c>
      <c r="H48" s="3">
        <f t="shared" si="7"/>
        <v>1.4461368515934321</v>
      </c>
      <c r="I48" s="3">
        <f t="shared" si="14"/>
        <v>213.12119419204828</v>
      </c>
      <c r="J48" s="3">
        <f t="shared" si="8"/>
        <v>1.3709702215105395</v>
      </c>
      <c r="K48" s="3">
        <f t="shared" si="15"/>
        <v>212.9708609318825</v>
      </c>
      <c r="L48" s="3"/>
    </row>
    <row r="49" spans="1:12" x14ac:dyDescent="0.25">
      <c r="A49" s="3">
        <f t="shared" ref="A49:A91" si="16">A48+$D$18</f>
        <v>124</v>
      </c>
      <c r="B49" s="3">
        <f t="shared" ref="B49:B91" si="17">B48+$D$18*C48</f>
        <v>208.59431081738887</v>
      </c>
      <c r="C49" s="3">
        <f t="shared" si="5"/>
        <v>1.4299949701196872</v>
      </c>
      <c r="D49" s="3"/>
      <c r="F49" s="3">
        <f t="shared" si="12"/>
        <v>124</v>
      </c>
      <c r="G49" s="3">
        <f t="shared" si="13"/>
        <v>212.9708609318825</v>
      </c>
      <c r="H49" s="3">
        <f t="shared" si="7"/>
        <v>1.372953309177549</v>
      </c>
      <c r="I49" s="3">
        <f t="shared" si="14"/>
        <v>218.46267416859268</v>
      </c>
      <c r="J49" s="3">
        <f t="shared" si="8"/>
        <v>1.2995062399956736</v>
      </c>
      <c r="K49" s="3">
        <f t="shared" si="15"/>
        <v>218.31578003022895</v>
      </c>
      <c r="L49" s="3"/>
    </row>
    <row r="50" spans="1:12" x14ac:dyDescent="0.25">
      <c r="A50" s="3">
        <f t="shared" si="16"/>
        <v>128</v>
      </c>
      <c r="B50" s="3">
        <f t="shared" si="17"/>
        <v>214.31429069786762</v>
      </c>
      <c r="C50" s="3">
        <f t="shared" si="5"/>
        <v>1.355176507126288</v>
      </c>
      <c r="D50" s="3"/>
      <c r="F50" s="3">
        <f t="shared" si="12"/>
        <v>128</v>
      </c>
      <c r="G50" s="3">
        <f t="shared" si="13"/>
        <v>218.31578003022895</v>
      </c>
      <c r="H50" s="3">
        <f t="shared" si="7"/>
        <v>1.3014973687993641</v>
      </c>
      <c r="I50" s="3">
        <f t="shared" si="14"/>
        <v>223.52176950542642</v>
      </c>
      <c r="J50" s="3">
        <f t="shared" si="8"/>
        <v>1.2300571346776636</v>
      </c>
      <c r="K50" s="3">
        <f t="shared" si="15"/>
        <v>223.378889037183</v>
      </c>
      <c r="L50" s="3"/>
    </row>
    <row r="51" spans="1:12" x14ac:dyDescent="0.25">
      <c r="A51" s="3">
        <f t="shared" si="16"/>
        <v>132</v>
      </c>
      <c r="B51" s="3">
        <f t="shared" si="17"/>
        <v>219.73499672637277</v>
      </c>
      <c r="C51" s="3">
        <f t="shared" si="5"/>
        <v>1.2821997542825916</v>
      </c>
      <c r="D51" s="3"/>
      <c r="F51" s="3">
        <f t="shared" si="12"/>
        <v>132</v>
      </c>
      <c r="G51" s="3">
        <f t="shared" si="13"/>
        <v>223.378889037183</v>
      </c>
      <c r="H51" s="3">
        <f t="shared" si="7"/>
        <v>1.2320416198286841</v>
      </c>
      <c r="I51" s="3">
        <f t="shared" si="14"/>
        <v>228.30705551649774</v>
      </c>
      <c r="J51" s="3">
        <f t="shared" si="8"/>
        <v>1.1628328205883662</v>
      </c>
      <c r="K51" s="3">
        <f t="shared" si="15"/>
        <v>228.16863791801711</v>
      </c>
      <c r="L51" s="3"/>
    </row>
    <row r="52" spans="1:12" x14ac:dyDescent="0.25">
      <c r="A52" s="3">
        <f t="shared" si="16"/>
        <v>136</v>
      </c>
      <c r="B52" s="3">
        <f t="shared" si="17"/>
        <v>224.86379574350315</v>
      </c>
      <c r="C52" s="3">
        <f t="shared" si="5"/>
        <v>1.211352855630919</v>
      </c>
      <c r="D52" s="3"/>
      <c r="F52" s="3">
        <f t="shared" si="12"/>
        <v>136</v>
      </c>
      <c r="G52" s="3">
        <f t="shared" si="13"/>
        <v>228.16863791801711</v>
      </c>
      <c r="H52" s="3">
        <f t="shared" si="7"/>
        <v>1.1647978984627272</v>
      </c>
      <c r="I52" s="3">
        <f t="shared" si="14"/>
        <v>232.82782951186803</v>
      </c>
      <c r="J52" s="3">
        <f t="shared" si="8"/>
        <v>1.0979903494128831</v>
      </c>
      <c r="K52" s="3">
        <f t="shared" si="15"/>
        <v>232.69421441376832</v>
      </c>
      <c r="L52" s="3"/>
    </row>
    <row r="53" spans="1:12" x14ac:dyDescent="0.25">
      <c r="A53" s="3">
        <f t="shared" si="16"/>
        <v>140</v>
      </c>
      <c r="B53" s="3">
        <f t="shared" si="17"/>
        <v>229.70920716602683</v>
      </c>
      <c r="C53" s="3">
        <f t="shared" si="5"/>
        <v>1.1428585461751624</v>
      </c>
      <c r="D53" s="3"/>
      <c r="F53" s="3">
        <f t="shared" si="12"/>
        <v>140</v>
      </c>
      <c r="G53" s="3">
        <f t="shared" si="13"/>
        <v>232.69421441376832</v>
      </c>
      <c r="H53" s="3">
        <f t="shared" si="7"/>
        <v>1.0999251007690076</v>
      </c>
      <c r="I53" s="3">
        <f t="shared" si="14"/>
        <v>237.09391481684435</v>
      </c>
      <c r="J53" s="3">
        <f t="shared" si="8"/>
        <v>1.0356410994963809</v>
      </c>
      <c r="K53" s="3">
        <f t="shared" si="15"/>
        <v>236.9653468142991</v>
      </c>
      <c r="L53" s="3"/>
    </row>
    <row r="54" spans="1:12" x14ac:dyDescent="0.25">
      <c r="A54" s="3">
        <f t="shared" si="16"/>
        <v>144</v>
      </c>
      <c r="B54" s="3">
        <f t="shared" si="17"/>
        <v>234.28064135072748</v>
      </c>
      <c r="C54" s="3">
        <f t="shared" si="5"/>
        <v>1.0768824766198415</v>
      </c>
      <c r="D54" s="3"/>
      <c r="F54" s="3">
        <f t="shared" si="12"/>
        <v>144</v>
      </c>
      <c r="G54" s="3">
        <f t="shared" si="13"/>
        <v>236.9653468142991</v>
      </c>
      <c r="H54" s="3">
        <f t="shared" si="7"/>
        <v>1.0375363398374147</v>
      </c>
      <c r="I54" s="3">
        <f t="shared" si="14"/>
        <v>241.11549217364876</v>
      </c>
      <c r="J54" s="3">
        <f t="shared" si="8"/>
        <v>0.97585729248628916</v>
      </c>
      <c r="K54" s="3">
        <f t="shared" si="15"/>
        <v>240.99213407894649</v>
      </c>
      <c r="L54" s="3"/>
    </row>
    <row r="55" spans="1:12" x14ac:dyDescent="0.25">
      <c r="A55" s="3">
        <f t="shared" si="16"/>
        <v>148</v>
      </c>
      <c r="B55" s="3">
        <f t="shared" si="17"/>
        <v>238.58817125720685</v>
      </c>
      <c r="C55" s="3">
        <f t="shared" si="5"/>
        <v>1.0135409091065182</v>
      </c>
      <c r="D55" s="3"/>
      <c r="F55" s="3">
        <f t="shared" si="12"/>
        <v>148</v>
      </c>
      <c r="G55" s="3">
        <f t="shared" si="13"/>
        <v>240.99213407894649</v>
      </c>
      <c r="H55" s="3">
        <f t="shared" si="7"/>
        <v>0.97770544193454023</v>
      </c>
      <c r="I55" s="3">
        <f t="shared" si="14"/>
        <v>244.90295584668465</v>
      </c>
      <c r="J55" s="3">
        <f t="shared" si="8"/>
        <v>0.91867785291795767</v>
      </c>
      <c r="K55" s="3">
        <f t="shared" si="15"/>
        <v>244.78490066865149</v>
      </c>
      <c r="L55" s="3"/>
    </row>
    <row r="56" spans="1:12" x14ac:dyDescent="0.25">
      <c r="A56" s="3">
        <f t="shared" si="16"/>
        <v>152</v>
      </c>
      <c r="B56" s="3">
        <f t="shared" si="17"/>
        <v>242.64233489363292</v>
      </c>
      <c r="C56" s="3">
        <f t="shared" si="5"/>
        <v>0.95290775058363619</v>
      </c>
      <c r="D56" s="3"/>
      <c r="F56" s="3">
        <f t="shared" si="12"/>
        <v>152</v>
      </c>
      <c r="G56" s="3">
        <f t="shared" si="13"/>
        <v>244.78490066865149</v>
      </c>
      <c r="H56" s="3">
        <f t="shared" si="7"/>
        <v>0.92047279503843471</v>
      </c>
      <c r="I56" s="3">
        <f t="shared" si="14"/>
        <v>248.46679184880523</v>
      </c>
      <c r="J56" s="3">
        <f t="shared" si="8"/>
        <v>0.86411363942684294</v>
      </c>
      <c r="K56" s="3">
        <f t="shared" si="15"/>
        <v>248.35407353758205</v>
      </c>
      <c r="L56" s="3"/>
    </row>
    <row r="57" spans="1:12" x14ac:dyDescent="0.25">
      <c r="A57" s="3">
        <f t="shared" si="16"/>
        <v>156</v>
      </c>
      <c r="B57" s="3">
        <f t="shared" si="17"/>
        <v>246.45396589596746</v>
      </c>
      <c r="C57" s="3">
        <f t="shared" si="5"/>
        <v>0.89502091732282363</v>
      </c>
      <c r="D57" s="3"/>
      <c r="F57" s="3">
        <f t="shared" si="12"/>
        <v>156</v>
      </c>
      <c r="G57" s="3">
        <f t="shared" si="13"/>
        <v>248.35407353758205</v>
      </c>
      <c r="H57" s="3">
        <f t="shared" si="7"/>
        <v>0.86585057606605509</v>
      </c>
      <c r="I57" s="3">
        <f t="shared" si="14"/>
        <v>251.81747584184626</v>
      </c>
      <c r="J57" s="3">
        <f t="shared" si="8"/>
        <v>0.81215208440268438</v>
      </c>
      <c r="K57" s="3">
        <f t="shared" si="15"/>
        <v>251.71007885851952</v>
      </c>
      <c r="L57" s="3"/>
    </row>
    <row r="58" spans="1:12" x14ac:dyDescent="0.25">
      <c r="A58" s="3">
        <f t="shared" si="16"/>
        <v>160</v>
      </c>
      <c r="B58" s="3">
        <f t="shared" si="17"/>
        <v>250.03404956525875</v>
      </c>
      <c r="C58" s="3">
        <f t="shared" si="5"/>
        <v>0.83988804368547776</v>
      </c>
      <c r="D58" s="3"/>
      <c r="F58" s="3">
        <f t="shared" si="12"/>
        <v>160</v>
      </c>
      <c r="G58" s="3">
        <f t="shared" si="13"/>
        <v>251.71007885851952</v>
      </c>
      <c r="H58" s="3">
        <f t="shared" si="7"/>
        <v>0.81382739171105523</v>
      </c>
      <c r="I58" s="3">
        <f t="shared" si="14"/>
        <v>254.96538842536376</v>
      </c>
      <c r="J58" s="3">
        <f t="shared" si="8"/>
        <v>0.76276128377926489</v>
      </c>
      <c r="K58" s="3">
        <f t="shared" si="15"/>
        <v>254.86325620950015</v>
      </c>
      <c r="L58" s="3"/>
    </row>
    <row r="59" spans="1:12" x14ac:dyDescent="0.25">
      <c r="A59" s="3">
        <f t="shared" si="16"/>
        <v>164</v>
      </c>
      <c r="B59" s="3">
        <f t="shared" si="17"/>
        <v>253.39360174000066</v>
      </c>
      <c r="C59" s="3">
        <f t="shared" si="5"/>
        <v>0.78749156201713488</v>
      </c>
      <c r="D59" s="3"/>
      <c r="F59" s="3">
        <f t="shared" si="12"/>
        <v>164</v>
      </c>
      <c r="G59" s="3">
        <f t="shared" si="13"/>
        <v>254.86325620950015</v>
      </c>
      <c r="H59" s="3">
        <f t="shared" si="7"/>
        <v>0.76437237308279249</v>
      </c>
      <c r="I59" s="3">
        <f t="shared" si="14"/>
        <v>257.92074570183132</v>
      </c>
      <c r="J59" s="3">
        <f t="shared" si="8"/>
        <v>0.71589358107389733</v>
      </c>
      <c r="K59" s="3">
        <f t="shared" si="15"/>
        <v>257.82378811781354</v>
      </c>
      <c r="L59" s="3"/>
    </row>
    <row r="60" spans="1:12" x14ac:dyDescent="0.25">
      <c r="A60" s="3">
        <f t="shared" si="16"/>
        <v>168</v>
      </c>
      <c r="B60" s="3">
        <f t="shared" si="17"/>
        <v>256.54356798806919</v>
      </c>
      <c r="C60" s="3">
        <f t="shared" si="5"/>
        <v>0.73779318974193853</v>
      </c>
      <c r="D60" s="3"/>
      <c r="F60" s="3">
        <f t="shared" si="12"/>
        <v>168</v>
      </c>
      <c r="G60" s="3">
        <f t="shared" si="13"/>
        <v>257.82378811781354</v>
      </c>
      <c r="H60" s="3">
        <f t="shared" si="7"/>
        <v>0.71743876708465526</v>
      </c>
      <c r="I60" s="3">
        <f t="shared" si="14"/>
        <v>260.69354318615217</v>
      </c>
      <c r="J60" s="3">
        <f t="shared" si="8"/>
        <v>0.67148869039012526</v>
      </c>
      <c r="K60" s="3">
        <f t="shared" si="15"/>
        <v>260.60164303276309</v>
      </c>
      <c r="L60" s="3"/>
    </row>
    <row r="61" spans="1:12" x14ac:dyDescent="0.25">
      <c r="A61" s="3">
        <f t="shared" si="16"/>
        <v>172</v>
      </c>
      <c r="B61" s="3">
        <f t="shared" si="17"/>
        <v>259.49474074703693</v>
      </c>
      <c r="C61" s="3">
        <f t="shared" si="5"/>
        <v>0.69073786537446535</v>
      </c>
      <c r="D61" s="3"/>
      <c r="F61" s="3">
        <f t="shared" si="12"/>
        <v>172</v>
      </c>
      <c r="G61" s="3">
        <f t="shared" si="13"/>
        <v>260.60164303276309</v>
      </c>
      <c r="H61" s="3">
        <f t="shared" si="7"/>
        <v>0.67296706833627395</v>
      </c>
      <c r="I61" s="3">
        <f t="shared" si="14"/>
        <v>263.2935113061082</v>
      </c>
      <c r="J61" s="3">
        <f t="shared" si="8"/>
        <v>0.62947640237863178</v>
      </c>
      <c r="K61" s="3">
        <f t="shared" si="15"/>
        <v>263.2065299741929</v>
      </c>
      <c r="L61" s="3"/>
    </row>
    <row r="62" spans="1:12" x14ac:dyDescent="0.25">
      <c r="A62" s="3">
        <f t="shared" si="16"/>
        <v>176</v>
      </c>
      <c r="B62" s="3">
        <f t="shared" si="17"/>
        <v>262.25769220853476</v>
      </c>
      <c r="C62" s="3">
        <f t="shared" si="5"/>
        <v>0.64625717810580052</v>
      </c>
      <c r="D62" s="3"/>
      <c r="F62" s="3">
        <f t="shared" si="12"/>
        <v>176</v>
      </c>
      <c r="G62" s="3">
        <f t="shared" si="13"/>
        <v>263.2065299741929</v>
      </c>
      <c r="H62" s="3">
        <f t="shared" si="7"/>
        <v>0.63088773494232409</v>
      </c>
      <c r="I62" s="3">
        <f t="shared" si="14"/>
        <v>265.73008091396218</v>
      </c>
      <c r="J62" s="3">
        <f t="shared" si="8"/>
        <v>0.5897789155097819</v>
      </c>
      <c r="K62" s="3">
        <f t="shared" si="15"/>
        <v>265.64786327509711</v>
      </c>
      <c r="L62" s="3"/>
    </row>
    <row r="63" spans="1:12" x14ac:dyDescent="0.25">
      <c r="A63" s="3">
        <f t="shared" si="16"/>
        <v>180</v>
      </c>
      <c r="B63" s="3">
        <f t="shared" si="17"/>
        <v>264.84272092095796</v>
      </c>
      <c r="C63" s="3">
        <f t="shared" si="5"/>
        <v>0.60427233653932655</v>
      </c>
      <c r="D63" s="3"/>
      <c r="F63" s="3">
        <f t="shared" si="12"/>
        <v>180</v>
      </c>
      <c r="G63" s="3">
        <f t="shared" si="13"/>
        <v>265.64786327509711</v>
      </c>
      <c r="H63" s="3">
        <f t="shared" si="7"/>
        <v>0.59112352994317618</v>
      </c>
      <c r="I63" s="3">
        <f t="shared" si="14"/>
        <v>268.01235739486981</v>
      </c>
      <c r="J63" s="3">
        <f t="shared" si="8"/>
        <v>0.55231283275297394</v>
      </c>
      <c r="K63" s="3">
        <f t="shared" si="15"/>
        <v>267.93473600048941</v>
      </c>
      <c r="L63" s="3"/>
    </row>
    <row r="64" spans="1:12" x14ac:dyDescent="0.25">
      <c r="A64" s="3">
        <f t="shared" si="16"/>
        <v>184</v>
      </c>
      <c r="B64" s="3">
        <f t="shared" si="17"/>
        <v>267.25981026711526</v>
      </c>
      <c r="C64" s="3">
        <f t="shared" si="5"/>
        <v>0.5646967215974209</v>
      </c>
      <c r="D64" s="3"/>
      <c r="F64" s="3">
        <f t="shared" si="12"/>
        <v>184</v>
      </c>
      <c r="G64" s="3">
        <f t="shared" si="13"/>
        <v>267.93473600048941</v>
      </c>
      <c r="H64" s="3">
        <f t="shared" si="7"/>
        <v>0.55359152816263102</v>
      </c>
      <c r="I64" s="3">
        <f t="shared" si="14"/>
        <v>270.14910211313992</v>
      </c>
      <c r="J64" s="3">
        <f t="shared" si="8"/>
        <v>0.51699086111707793</v>
      </c>
      <c r="K64" s="3">
        <f t="shared" si="15"/>
        <v>270.07590077904882</v>
      </c>
      <c r="L64" s="3"/>
    </row>
    <row r="65" spans="1:12" x14ac:dyDescent="0.25">
      <c r="A65" s="3">
        <f t="shared" si="16"/>
        <v>188</v>
      </c>
      <c r="B65" s="3">
        <f t="shared" si="17"/>
        <v>269.51859715350491</v>
      </c>
      <c r="C65" s="3">
        <f t="shared" si="5"/>
        <v>0.52743806702739326</v>
      </c>
      <c r="D65" s="3"/>
      <c r="F65" s="3">
        <f t="shared" si="12"/>
        <v>188</v>
      </c>
      <c r="G65" s="3">
        <f t="shared" si="13"/>
        <v>270.07590077904882</v>
      </c>
      <c r="H65" s="3">
        <f t="shared" si="7"/>
        <v>0.51820482563652792</v>
      </c>
      <c r="I65" s="3">
        <f t="shared" si="14"/>
        <v>272.14872008159494</v>
      </c>
      <c r="J65" s="3">
        <f t="shared" si="8"/>
        <v>0.4837232486605717</v>
      </c>
      <c r="K65" s="3">
        <f t="shared" si="15"/>
        <v>272.07975692764302</v>
      </c>
      <c r="L65" s="3"/>
    </row>
    <row r="66" spans="1:12" x14ac:dyDescent="0.25">
      <c r="A66" s="3">
        <f t="shared" si="16"/>
        <v>192</v>
      </c>
      <c r="B66" s="3">
        <f t="shared" si="17"/>
        <v>271.62834942161447</v>
      </c>
      <c r="C66" s="3">
        <f t="shared" si="5"/>
        <v>0.49240030864242967</v>
      </c>
      <c r="D66" s="3"/>
      <c r="F66" s="3">
        <f t="shared" si="12"/>
        <v>192</v>
      </c>
      <c r="G66" s="3">
        <f t="shared" si="13"/>
        <v>272.07975692764302</v>
      </c>
      <c r="H66" s="3">
        <f t="shared" si="7"/>
        <v>0.48487398604520848</v>
      </c>
      <c r="I66" s="3">
        <f t="shared" si="14"/>
        <v>274.01925287182382</v>
      </c>
      <c r="J66" s="3">
        <f t="shared" si="8"/>
        <v>0.45241899066076724</v>
      </c>
      <c r="K66" s="3">
        <f t="shared" si="15"/>
        <v>273.95434288105497</v>
      </c>
      <c r="L66" s="3"/>
    </row>
    <row r="67" spans="1:12" x14ac:dyDescent="0.25">
      <c r="A67" s="3">
        <f t="shared" si="16"/>
        <v>196</v>
      </c>
      <c r="B67" s="3">
        <f t="shared" si="17"/>
        <v>273.5979506561842</v>
      </c>
      <c r="C67" s="3">
        <f t="shared" si="5"/>
        <v>0.45948514070297969</v>
      </c>
      <c r="D67" s="3"/>
      <c r="F67" s="3">
        <f t="shared" si="12"/>
        <v>196</v>
      </c>
      <c r="G67" s="3">
        <f t="shared" si="13"/>
        <v>273.95434288105497</v>
      </c>
      <c r="H67" s="3">
        <f t="shared" si="7"/>
        <v>0.45350825571943737</v>
      </c>
      <c r="I67" s="3">
        <f t="shared" si="14"/>
        <v>275.76837590393274</v>
      </c>
      <c r="J67" s="3">
        <f t="shared" si="8"/>
        <v>0.42298683373449486</v>
      </c>
      <c r="K67" s="3">
        <f t="shared" si="15"/>
        <v>275.70733305996282</v>
      </c>
      <c r="L67" s="3"/>
    </row>
    <row r="68" spans="1:12" x14ac:dyDescent="0.25">
      <c r="A68" s="3">
        <f t="shared" si="16"/>
        <v>200</v>
      </c>
      <c r="B68" s="3">
        <f t="shared" si="17"/>
        <v>275.43589121899612</v>
      </c>
      <c r="C68" s="3">
        <f t="shared" si="5"/>
        <v>0.4285933148743683</v>
      </c>
      <c r="D68" s="3"/>
      <c r="F68" s="3">
        <f t="shared" si="12"/>
        <v>200</v>
      </c>
      <c r="G68" s="3">
        <f t="shared" si="13"/>
        <v>275.70733305996282</v>
      </c>
      <c r="H68" s="3">
        <f t="shared" si="7"/>
        <v>0.42401657594232267</v>
      </c>
      <c r="I68" s="3">
        <f t="shared" si="14"/>
        <v>277.40339936373209</v>
      </c>
      <c r="J68" s="3">
        <f t="shared" si="8"/>
        <v>0.39533610389562857</v>
      </c>
      <c r="K68" s="3">
        <f t="shared" si="15"/>
        <v>277.34603841963872</v>
      </c>
      <c r="L68" s="3"/>
    </row>
    <row r="69" spans="1:12" x14ac:dyDescent="0.25">
      <c r="A69" s="3">
        <f t="shared" si="16"/>
        <v>204</v>
      </c>
      <c r="B69" s="3">
        <f t="shared" si="17"/>
        <v>277.15026447849357</v>
      </c>
      <c r="C69" s="3">
        <f t="shared" si="5"/>
        <v>0.39962571413538955</v>
      </c>
      <c r="D69" s="3"/>
      <c r="F69" s="3">
        <f t="shared" si="12"/>
        <v>204</v>
      </c>
      <c r="G69" s="3">
        <f t="shared" si="13"/>
        <v>277.34603841963872</v>
      </c>
      <c r="H69" s="3">
        <f t="shared" si="7"/>
        <v>0.39630841850009052</v>
      </c>
      <c r="I69" s="3">
        <f t="shared" si="14"/>
        <v>278.93127209363905</v>
      </c>
      <c r="J69" s="3">
        <f t="shared" si="8"/>
        <v>0.36937738186323704</v>
      </c>
      <c r="K69" s="3">
        <f t="shared" si="15"/>
        <v>278.87741002036535</v>
      </c>
      <c r="L69" s="3"/>
    </row>
    <row r="70" spans="1:12" x14ac:dyDescent="0.25">
      <c r="A70" s="3">
        <f t="shared" si="16"/>
        <v>208</v>
      </c>
      <c r="B70" s="3">
        <f t="shared" si="17"/>
        <v>278.74876733503515</v>
      </c>
      <c r="C70" s="3">
        <f t="shared" si="5"/>
        <v>0.37248423096842537</v>
      </c>
      <c r="D70" s="3"/>
      <c r="F70" s="3">
        <f t="shared" si="12"/>
        <v>208</v>
      </c>
      <c r="G70" s="3">
        <f t="shared" si="13"/>
        <v>278.87741002036535</v>
      </c>
      <c r="H70" s="3">
        <f t="shared" si="7"/>
        <v>0.3702944677906741</v>
      </c>
      <c r="I70" s="3">
        <f t="shared" si="14"/>
        <v>280.35858789152803</v>
      </c>
      <c r="J70" s="3">
        <f t="shared" si="8"/>
        <v>0.34502304642746034</v>
      </c>
      <c r="K70" s="3">
        <f t="shared" si="15"/>
        <v>280.3080450488016</v>
      </c>
      <c r="L70" s="3"/>
    </row>
    <row r="71" spans="1:12" x14ac:dyDescent="0.25">
      <c r="A71" s="3">
        <f t="shared" si="16"/>
        <v>212</v>
      </c>
      <c r="B71" s="3">
        <f t="shared" si="17"/>
        <v>280.23870425890885</v>
      </c>
      <c r="C71" s="3">
        <f t="shared" si="5"/>
        <v>0.34707247621007459</v>
      </c>
      <c r="D71" s="3"/>
      <c r="F71" s="3">
        <f t="shared" si="12"/>
        <v>212</v>
      </c>
      <c r="G71" s="3">
        <f t="shared" si="13"/>
        <v>280.3080450488016</v>
      </c>
      <c r="H71" s="3">
        <f t="shared" si="7"/>
        <v>0.34588717031187599</v>
      </c>
      <c r="I71" s="3">
        <f t="shared" si="14"/>
        <v>281.69159373004914</v>
      </c>
      <c r="J71" s="3">
        <f t="shared" si="8"/>
        <v>0.32218770435450095</v>
      </c>
      <c r="K71" s="3">
        <f t="shared" si="15"/>
        <v>281.64419479813438</v>
      </c>
      <c r="L71" s="3"/>
    </row>
    <row r="72" spans="1:12" x14ac:dyDescent="0.25">
      <c r="A72" s="3">
        <f t="shared" si="16"/>
        <v>216</v>
      </c>
      <c r="B72" s="3">
        <f t="shared" si="17"/>
        <v>281.62699416374915</v>
      </c>
      <c r="C72" s="3">
        <f t="shared" si="5"/>
        <v>0.32329634213421615</v>
      </c>
      <c r="D72" s="3"/>
      <c r="F72" s="3">
        <f t="shared" si="12"/>
        <v>216</v>
      </c>
      <c r="G72" s="3">
        <f t="shared" si="13"/>
        <v>281.64419479813438</v>
      </c>
      <c r="H72" s="3">
        <f t="shared" si="7"/>
        <v>0.32300117003896556</v>
      </c>
      <c r="I72" s="3">
        <f t="shared" si="14"/>
        <v>282.93619947829023</v>
      </c>
      <c r="J72" s="3">
        <f t="shared" si="8"/>
        <v>0.30078852317492866</v>
      </c>
      <c r="K72" s="3">
        <f t="shared" si="15"/>
        <v>282.89177418456217</v>
      </c>
      <c r="L72" s="3"/>
    </row>
    <row r="73" spans="1:12" x14ac:dyDescent="0.25">
      <c r="A73" s="3">
        <f t="shared" si="16"/>
        <v>220</v>
      </c>
      <c r="B73" s="3">
        <f t="shared" si="17"/>
        <v>282.920179532286</v>
      </c>
      <c r="C73" s="3">
        <f t="shared" si="5"/>
        <v>0.30106444070984978</v>
      </c>
      <c r="D73" s="3"/>
      <c r="F73" s="3">
        <f t="shared" si="12"/>
        <v>220</v>
      </c>
      <c r="G73" s="3">
        <f t="shared" si="13"/>
        <v>282.89177418456217</v>
      </c>
      <c r="H73" s="3">
        <f t="shared" si="7"/>
        <v>0.30155364607311635</v>
      </c>
      <c r="I73" s="3">
        <f t="shared" si="14"/>
        <v>284.09798876885463</v>
      </c>
      <c r="J73" s="3">
        <f t="shared" si="8"/>
        <v>0.28074548125057952</v>
      </c>
      <c r="K73" s="3">
        <f t="shared" si="15"/>
        <v>284.05637243920955</v>
      </c>
      <c r="L73" s="3"/>
    </row>
    <row r="74" spans="1:12" x14ac:dyDescent="0.25">
      <c r="A74" s="3">
        <f t="shared" si="16"/>
        <v>224</v>
      </c>
      <c r="B74" s="3">
        <f t="shared" si="17"/>
        <v>284.1244372951254</v>
      </c>
      <c r="C74" s="3">
        <f t="shared" si="5"/>
        <v>0.28028843554196903</v>
      </c>
      <c r="D74" s="3"/>
      <c r="F74" s="3">
        <f t="shared" si="12"/>
        <v>224</v>
      </c>
      <c r="G74" s="3">
        <f t="shared" si="13"/>
        <v>284.05637243920955</v>
      </c>
      <c r="H74" s="3">
        <f t="shared" si="7"/>
        <v>0.28146456699872724</v>
      </c>
      <c r="I74" s="3">
        <f t="shared" si="14"/>
        <v>285.18223070720444</v>
      </c>
      <c r="J74" s="3">
        <f t="shared" si="8"/>
        <v>0.2619815477504715</v>
      </c>
      <c r="K74" s="3">
        <f t="shared" si="15"/>
        <v>285.14326466870796</v>
      </c>
      <c r="L74" s="3"/>
    </row>
    <row r="75" spans="1:12" x14ac:dyDescent="0.25">
      <c r="A75" s="3">
        <f t="shared" si="16"/>
        <v>228</v>
      </c>
      <c r="B75" s="3">
        <f t="shared" si="17"/>
        <v>285.24559103729325</v>
      </c>
      <c r="C75" s="3">
        <f t="shared" si="5"/>
        <v>0.26088328377363268</v>
      </c>
      <c r="D75" s="3"/>
      <c r="F75" s="3">
        <f t="shared" si="12"/>
        <v>228</v>
      </c>
      <c r="G75" s="3">
        <f t="shared" si="13"/>
        <v>285.14326466870796</v>
      </c>
      <c r="H75" s="3">
        <f t="shared" si="7"/>
        <v>0.26265687462539244</v>
      </c>
      <c r="I75" s="3">
        <f t="shared" si="14"/>
        <v>286.19389216720953</v>
      </c>
      <c r="J75" s="3">
        <f t="shared" si="8"/>
        <v>0.24442280357710705</v>
      </c>
      <c r="K75" s="3">
        <f t="shared" si="15"/>
        <v>286.15742402511296</v>
      </c>
      <c r="L75" s="3"/>
    </row>
    <row r="76" spans="1:12" x14ac:dyDescent="0.25">
      <c r="A76" s="3">
        <f t="shared" si="16"/>
        <v>232</v>
      </c>
      <c r="B76" s="3">
        <f t="shared" si="17"/>
        <v>286.2891241723878</v>
      </c>
      <c r="C76" s="3">
        <f t="shared" si="5"/>
        <v>0.24276740220083878</v>
      </c>
      <c r="D76" s="3"/>
      <c r="F76" s="3">
        <f t="shared" si="12"/>
        <v>232</v>
      </c>
      <c r="G76" s="3">
        <f t="shared" si="13"/>
        <v>286.15742402511296</v>
      </c>
      <c r="H76" s="3">
        <f t="shared" si="7"/>
        <v>0.24505660820199432</v>
      </c>
      <c r="I76" s="3">
        <f t="shared" si="14"/>
        <v>287.13765045792093</v>
      </c>
      <c r="J76" s="3">
        <f t="shared" si="8"/>
        <v>0.22799851286120743</v>
      </c>
      <c r="K76" s="3">
        <f t="shared" si="15"/>
        <v>287.10353426723935</v>
      </c>
      <c r="L76" s="3"/>
    </row>
    <row r="77" spans="1:12" x14ac:dyDescent="0.25">
      <c r="A77" s="3">
        <f t="shared" si="16"/>
        <v>236</v>
      </c>
      <c r="B77" s="3">
        <f t="shared" si="17"/>
        <v>287.26019378119116</v>
      </c>
      <c r="C77" s="3">
        <f t="shared" si="5"/>
        <v>0.22586277002393385</v>
      </c>
      <c r="D77" s="3"/>
      <c r="F77" s="3">
        <f t="shared" si="12"/>
        <v>236</v>
      </c>
      <c r="G77" s="3">
        <f t="shared" si="13"/>
        <v>287.10353426723935</v>
      </c>
      <c r="H77" s="3">
        <f t="shared" si="7"/>
        <v>0.22859297876645399</v>
      </c>
      <c r="I77" s="3">
        <f t="shared" si="14"/>
        <v>288.01790618230518</v>
      </c>
      <c r="J77" s="3">
        <f t="shared" si="8"/>
        <v>0.2126411533740547</v>
      </c>
      <c r="K77" s="3">
        <f t="shared" si="15"/>
        <v>287.9860025315204</v>
      </c>
      <c r="L77" s="3"/>
    </row>
    <row r="78" spans="1:12" x14ac:dyDescent="0.25">
      <c r="A78" s="3">
        <f t="shared" si="16"/>
        <v>240</v>
      </c>
      <c r="B78" s="3">
        <f t="shared" si="17"/>
        <v>288.16364486128691</v>
      </c>
      <c r="C78" s="3">
        <f t="shared" si="5"/>
        <v>0.21009497902069837</v>
      </c>
      <c r="D78" s="3"/>
      <c r="F78" s="3">
        <f t="shared" si="12"/>
        <v>240</v>
      </c>
      <c r="G78" s="3">
        <f t="shared" si="13"/>
        <v>287.9860025315204</v>
      </c>
      <c r="H78" s="3">
        <f t="shared" si="7"/>
        <v>0.21319840202402435</v>
      </c>
      <c r="I78" s="3">
        <f t="shared" si="14"/>
        <v>288.83879613961648</v>
      </c>
      <c r="J78" s="3">
        <f t="shared" si="8"/>
        <v>0.1982864130799401</v>
      </c>
      <c r="K78" s="3">
        <f t="shared" si="15"/>
        <v>288.80897216172832</v>
      </c>
      <c r="L78" s="3"/>
    </row>
    <row r="79" spans="1:12" x14ac:dyDescent="0.25">
      <c r="A79" s="3">
        <f t="shared" si="16"/>
        <v>244</v>
      </c>
      <c r="B79" s="3">
        <f t="shared" si="17"/>
        <v>289.00402477736969</v>
      </c>
      <c r="C79" s="3">
        <f t="shared" si="5"/>
        <v>0.19539324046568318</v>
      </c>
      <c r="D79" s="3"/>
      <c r="F79" s="3">
        <f t="shared" si="12"/>
        <v>244</v>
      </c>
      <c r="G79" s="3">
        <f t="shared" si="13"/>
        <v>288.80897216172832</v>
      </c>
      <c r="H79" s="3">
        <f t="shared" si="7"/>
        <v>0.19880849701811287</v>
      </c>
      <c r="I79" s="3">
        <f t="shared" si="14"/>
        <v>289.60420614980075</v>
      </c>
      <c r="J79" s="3">
        <f t="shared" si="8"/>
        <v>0.18487315905465926</v>
      </c>
      <c r="K79" s="3">
        <f t="shared" si="15"/>
        <v>289.57633547387388</v>
      </c>
      <c r="L79" s="3"/>
    </row>
    <row r="80" spans="1:12" x14ac:dyDescent="0.25">
      <c r="A80" s="3">
        <f t="shared" si="16"/>
        <v>248</v>
      </c>
      <c r="B80" s="3">
        <f t="shared" si="17"/>
        <v>289.7855977392324</v>
      </c>
      <c r="C80" s="3">
        <f t="shared" si="5"/>
        <v>0.18169035682481505</v>
      </c>
      <c r="D80" s="3"/>
      <c r="F80" s="3">
        <f t="shared" si="12"/>
        <v>248</v>
      </c>
      <c r="G80" s="3">
        <f t="shared" si="13"/>
        <v>289.57633547387388</v>
      </c>
      <c r="H80" s="3">
        <f t="shared" si="7"/>
        <v>0.18536205685830215</v>
      </c>
      <c r="I80" s="3">
        <f t="shared" si="14"/>
        <v>290.31778370130706</v>
      </c>
      <c r="J80" s="3">
        <f t="shared" si="8"/>
        <v>0.17234338411781494</v>
      </c>
      <c r="K80" s="3">
        <f t="shared" si="15"/>
        <v>290.29174635582609</v>
      </c>
      <c r="L80" s="3"/>
    </row>
    <row r="81" spans="1:15" x14ac:dyDescent="0.25">
      <c r="A81" s="3">
        <f t="shared" si="16"/>
        <v>252</v>
      </c>
      <c r="B81" s="3">
        <f t="shared" si="17"/>
        <v>290.51235916653167</v>
      </c>
      <c r="C81" s="3">
        <f t="shared" si="5"/>
        <v>0.16892266511049872</v>
      </c>
      <c r="D81" s="3"/>
      <c r="F81" s="3">
        <f t="shared" si="12"/>
        <v>252</v>
      </c>
      <c r="G81" s="3">
        <f t="shared" si="13"/>
        <v>290.29174635582609</v>
      </c>
      <c r="H81" s="3">
        <f t="shared" si="7"/>
        <v>0.17280099688907138</v>
      </c>
      <c r="I81" s="3">
        <f t="shared" si="14"/>
        <v>290.98295034338236</v>
      </c>
      <c r="J81" s="3">
        <f t="shared" si="8"/>
        <v>0.16064213575497077</v>
      </c>
      <c r="K81" s="3">
        <f t="shared" si="15"/>
        <v>290.95863262111419</v>
      </c>
      <c r="L81" s="3"/>
    </row>
    <row r="82" spans="1:15" x14ac:dyDescent="0.25">
      <c r="A82" s="3">
        <f t="shared" si="16"/>
        <v>256</v>
      </c>
      <c r="B82" s="3">
        <f t="shared" si="17"/>
        <v>291.18804982697367</v>
      </c>
      <c r="C82" s="3">
        <f t="shared" si="5"/>
        <v>0.15702995777657425</v>
      </c>
      <c r="D82" s="3"/>
      <c r="F82" s="3">
        <f t="shared" si="12"/>
        <v>256</v>
      </c>
      <c r="G82" s="3">
        <f t="shared" si="13"/>
        <v>290.95863262111419</v>
      </c>
      <c r="H82" s="3">
        <f t="shared" si="7"/>
        <v>0.16107028490805259</v>
      </c>
      <c r="I82" s="3">
        <f t="shared" si="14"/>
        <v>291.60291376074639</v>
      </c>
      <c r="J82" s="3">
        <f t="shared" si="8"/>
        <v>0.14971743123003486</v>
      </c>
      <c r="K82" s="3">
        <f t="shared" si="15"/>
        <v>291.58020805339038</v>
      </c>
      <c r="L82" s="3"/>
    </row>
    <row r="83" spans="1:15" x14ac:dyDescent="0.25">
      <c r="A83" s="3">
        <f t="shared" si="16"/>
        <v>260</v>
      </c>
      <c r="B83" s="3">
        <f t="shared" si="17"/>
        <v>291.81616965807996</v>
      </c>
      <c r="C83" s="3">
        <f t="shared" si="5"/>
        <v>0.14595538615152068</v>
      </c>
      <c r="D83" s="3"/>
      <c r="F83" s="3">
        <f t="shared" si="12"/>
        <v>260</v>
      </c>
      <c r="G83" s="3">
        <f t="shared" si="13"/>
        <v>291.58020805339038</v>
      </c>
      <c r="H83" s="3">
        <f t="shared" si="7"/>
        <v>0.15011785736394925</v>
      </c>
      <c r="I83" s="3">
        <f t="shared" si="14"/>
        <v>292.18067948284619</v>
      </c>
      <c r="J83" s="3">
        <f t="shared" si="8"/>
        <v>0.1395201621981508</v>
      </c>
      <c r="K83" s="3">
        <f t="shared" si="15"/>
        <v>292.15948409251456</v>
      </c>
      <c r="L83" s="3"/>
    </row>
    <row r="84" spans="1:15" x14ac:dyDescent="0.25">
      <c r="A84" s="3">
        <f t="shared" si="16"/>
        <v>264</v>
      </c>
      <c r="B84" s="3">
        <f t="shared" si="17"/>
        <v>292.39999120268607</v>
      </c>
      <c r="C84" s="3">
        <f t="shared" ref="C84:C118" si="18">($C$12 * B84^(3/4)) * (1 - (B84/$C$13)^(1/4))</f>
        <v>0.1356453506395324</v>
      </c>
      <c r="D84" s="3"/>
      <c r="F84" s="3">
        <f t="shared" si="12"/>
        <v>264</v>
      </c>
      <c r="G84" s="3">
        <f t="shared" si="13"/>
        <v>292.15948409251456</v>
      </c>
      <c r="H84" s="3">
        <f t="shared" ref="H84:H118" si="19">$C$12*G84^(3/4)*(1-(G84/$C$13)^(1/4))</f>
        <v>0.13989452487127033</v>
      </c>
      <c r="I84" s="3">
        <f t="shared" si="14"/>
        <v>292.71906219199963</v>
      </c>
      <c r="J84" s="3">
        <f t="shared" ref="J84:J118" si="20">$C$12*I84^(3/4)*(1-(I84/$C$13)^(1/4))</f>
        <v>0.13000399161568446</v>
      </c>
      <c r="K84" s="3">
        <f t="shared" si="15"/>
        <v>292.69928112548848</v>
      </c>
      <c r="L84" s="3"/>
    </row>
    <row r="85" spans="1:15" x14ac:dyDescent="0.25">
      <c r="A85" s="3">
        <f t="shared" si="16"/>
        <v>268</v>
      </c>
      <c r="B85" s="3">
        <f t="shared" si="17"/>
        <v>292.94257260524421</v>
      </c>
      <c r="C85" s="3">
        <f t="shared" si="18"/>
        <v>0.12604938125032342</v>
      </c>
      <c r="D85" s="3"/>
      <c r="F85" s="3">
        <f t="shared" si="12"/>
        <v>268</v>
      </c>
      <c r="G85" s="3">
        <f t="shared" si="13"/>
        <v>292.69928112548848</v>
      </c>
      <c r="H85" s="3">
        <f t="shared" si="19"/>
        <v>0.1303538698625259</v>
      </c>
      <c r="I85" s="3">
        <f t="shared" si="14"/>
        <v>293.22069660493861</v>
      </c>
      <c r="J85" s="3">
        <f t="shared" si="20"/>
        <v>0.12112524529777574</v>
      </c>
      <c r="K85" s="3">
        <f t="shared" si="15"/>
        <v>293.20223935580907</v>
      </c>
      <c r="L85" s="3"/>
    </row>
    <row r="86" spans="1:15" x14ac:dyDescent="0.25">
      <c r="A86" s="3">
        <f t="shared" si="16"/>
        <v>272</v>
      </c>
      <c r="B86" s="3">
        <f t="shared" si="17"/>
        <v>293.44677013024551</v>
      </c>
      <c r="C86" s="3">
        <f t="shared" si="18"/>
        <v>0.11712001143907086</v>
      </c>
      <c r="D86" s="3"/>
      <c r="F86" s="3">
        <f t="shared" si="12"/>
        <v>272</v>
      </c>
      <c r="G86" s="3">
        <f t="shared" si="13"/>
        <v>293.20223935580907</v>
      </c>
      <c r="H86" s="3">
        <f t="shared" si="19"/>
        <v>0.12145213874993449</v>
      </c>
      <c r="I86" s="3">
        <f t="shared" si="14"/>
        <v>293.68804791080879</v>
      </c>
      <c r="J86" s="3">
        <f t="shared" si="20"/>
        <v>0.11284280008781994</v>
      </c>
      <c r="K86" s="3">
        <f t="shared" si="15"/>
        <v>293.6708292334846</v>
      </c>
      <c r="L86" s="3"/>
    </row>
    <row r="87" spans="1:15" x14ac:dyDescent="0.25">
      <c r="A87" s="3">
        <f t="shared" si="16"/>
        <v>276</v>
      </c>
      <c r="B87" s="3">
        <f t="shared" si="17"/>
        <v>293.91525017600179</v>
      </c>
      <c r="C87" s="3">
        <f t="shared" si="18"/>
        <v>0.10881264773716898</v>
      </c>
      <c r="D87" s="3"/>
      <c r="F87" s="3">
        <f t="shared" si="12"/>
        <v>276</v>
      </c>
      <c r="G87" s="3">
        <f t="shared" si="13"/>
        <v>293.6708292334846</v>
      </c>
      <c r="H87" s="3">
        <f t="shared" si="19"/>
        <v>0.11314813058001215</v>
      </c>
      <c r="I87" s="3">
        <f t="shared" si="14"/>
        <v>294.12342175580466</v>
      </c>
      <c r="J87" s="3">
        <f t="shared" si="20"/>
        <v>0.10511797026969595</v>
      </c>
      <c r="K87" s="3">
        <f t="shared" si="15"/>
        <v>294.10736143518403</v>
      </c>
      <c r="L87" s="3"/>
    </row>
    <row r="88" spans="1:15" x14ac:dyDescent="0.25">
      <c r="A88" s="3">
        <f t="shared" si="16"/>
        <v>280</v>
      </c>
      <c r="B88" s="3">
        <f t="shared" si="17"/>
        <v>294.35050076695046</v>
      </c>
      <c r="C88" s="3">
        <f t="shared" si="18"/>
        <v>0.10108543722331138</v>
      </c>
      <c r="D88" s="3"/>
      <c r="F88" s="3">
        <f t="shared" si="12"/>
        <v>280</v>
      </c>
      <c r="G88" s="3">
        <f t="shared" si="13"/>
        <v>294.10736143518403</v>
      </c>
      <c r="H88" s="3">
        <f t="shared" si="19"/>
        <v>0.10540308382888462</v>
      </c>
      <c r="I88" s="3">
        <f t="shared" si="14"/>
        <v>294.52897377049959</v>
      </c>
      <c r="J88" s="3">
        <f t="shared" si="20"/>
        <v>9.7914393566668242E-2</v>
      </c>
      <c r="K88" s="3">
        <f t="shared" si="15"/>
        <v>294.51399638997515</v>
      </c>
      <c r="L88" s="3"/>
    </row>
    <row r="89" spans="1:15" x14ac:dyDescent="0.25">
      <c r="A89" s="3">
        <f t="shared" si="16"/>
        <v>284</v>
      </c>
      <c r="B89" s="3">
        <f t="shared" si="17"/>
        <v>294.75484251584373</v>
      </c>
      <c r="C89" s="3">
        <f t="shared" si="18"/>
        <v>9.3899134514504295E-2</v>
      </c>
      <c r="D89" s="3"/>
      <c r="F89" s="3">
        <f t="shared" si="12"/>
        <v>284</v>
      </c>
      <c r="G89" s="3">
        <f t="shared" si="13"/>
        <v>294.51399638997515</v>
      </c>
      <c r="H89" s="3">
        <f t="shared" si="19"/>
        <v>9.8180562697038204E-2</v>
      </c>
      <c r="I89" s="3">
        <f t="shared" si="14"/>
        <v>294.9067186407633</v>
      </c>
      <c r="J89" s="3">
        <f t="shared" si="20"/>
        <v>9.1197917824349897E-2</v>
      </c>
      <c r="K89" s="3">
        <f t="shared" si="15"/>
        <v>294.89275335101792</v>
      </c>
      <c r="L89" s="3"/>
    </row>
    <row r="90" spans="1:15" x14ac:dyDescent="0.25">
      <c r="A90" s="3">
        <f t="shared" si="16"/>
        <v>288</v>
      </c>
      <c r="B90" s="3">
        <f t="shared" si="17"/>
        <v>295.13043905390174</v>
      </c>
      <c r="C90" s="3">
        <f t="shared" si="18"/>
        <v>8.7216969639992523E-2</v>
      </c>
      <c r="D90" s="3"/>
      <c r="F90" s="3">
        <f t="shared" si="12"/>
        <v>288</v>
      </c>
      <c r="G90" s="3">
        <f t="shared" si="13"/>
        <v>294.89275335101792</v>
      </c>
      <c r="H90" s="3">
        <f t="shared" si="19"/>
        <v>9.1446344014032815E-2</v>
      </c>
      <c r="I90" s="3">
        <f t="shared" si="14"/>
        <v>295.25853872707404</v>
      </c>
      <c r="J90" s="3">
        <f t="shared" si="20"/>
        <v>8.4936489264357193E-2</v>
      </c>
      <c r="K90" s="3">
        <f t="shared" si="15"/>
        <v>295.24551901757468</v>
      </c>
      <c r="L90" s="3"/>
    </row>
    <row r="91" spans="1:15" x14ac:dyDescent="0.25">
      <c r="A91" s="3">
        <f t="shared" si="16"/>
        <v>292</v>
      </c>
      <c r="B91" s="3">
        <f t="shared" si="17"/>
        <v>295.47930693246172</v>
      </c>
      <c r="C91" s="3">
        <f t="shared" si="18"/>
        <v>8.1004517891449968E-2</v>
      </c>
      <c r="D91" s="3"/>
      <c r="F91" s="3">
        <f t="shared" si="12"/>
        <v>292</v>
      </c>
      <c r="G91" s="3">
        <f t="shared" si="13"/>
        <v>295.24551901757468</v>
      </c>
      <c r="H91" s="3">
        <f t="shared" si="19"/>
        <v>8.5168305651234247E-2</v>
      </c>
      <c r="I91" s="3">
        <f t="shared" si="14"/>
        <v>295.58619224017963</v>
      </c>
      <c r="J91" s="3">
        <f t="shared" si="20"/>
        <v>7.9100043015472521E-2</v>
      </c>
      <c r="K91" s="3">
        <f t="shared" si="15"/>
        <v>295.57405571490807</v>
      </c>
      <c r="L91" s="3"/>
    </row>
    <row r="92" spans="1:15" x14ac:dyDescent="0.25">
      <c r="A92" s="3">
        <f t="shared" ref="A92:A114" si="21">A91+$D$18</f>
        <v>296</v>
      </c>
      <c r="B92" s="3">
        <f t="shared" ref="B92:B114" si="22">B91+$D$18*C91</f>
        <v>295.8033250040275</v>
      </c>
      <c r="C92" s="3">
        <f t="shared" si="18"/>
        <v>7.522957251362769E-2</v>
      </c>
      <c r="D92" s="3"/>
      <c r="F92" s="3">
        <f t="shared" si="12"/>
        <v>296</v>
      </c>
      <c r="G92" s="3">
        <f t="shared" si="13"/>
        <v>295.57405571490807</v>
      </c>
      <c r="H92" s="3">
        <f t="shared" si="19"/>
        <v>7.9316317159322122E-2</v>
      </c>
      <c r="I92" s="3">
        <f t="shared" si="14"/>
        <v>295.89132098354537</v>
      </c>
      <c r="J92" s="3">
        <f t="shared" si="20"/>
        <v>7.3660396476209214E-2</v>
      </c>
      <c r="K92" s="3">
        <f t="shared" si="15"/>
        <v>295.88000914217912</v>
      </c>
      <c r="L92" s="3"/>
    </row>
    <row r="93" spans="1:15" x14ac:dyDescent="0.25">
      <c r="A93" s="3">
        <f t="shared" si="21"/>
        <v>300</v>
      </c>
      <c r="B93" s="3">
        <f t="shared" si="22"/>
        <v>296.10424329408198</v>
      </c>
      <c r="C93" s="3">
        <f t="shared" si="18"/>
        <v>6.9862020905912689E-2</v>
      </c>
      <c r="D93" s="3"/>
      <c r="F93" s="3">
        <f t="shared" ref="F93:F118" si="23">F92+$L$18</f>
        <v>300</v>
      </c>
      <c r="G93" s="3">
        <f t="shared" ref="G93:G118" si="24">K92</f>
        <v>295.88000914217912</v>
      </c>
      <c r="H93" s="3">
        <f t="shared" si="19"/>
        <v>7.3862133193179705E-2</v>
      </c>
      <c r="I93" s="3">
        <f t="shared" ref="I93:I118" si="25">G93+$L$18*H93</f>
        <v>296.17545767495182</v>
      </c>
      <c r="J93" s="3">
        <f t="shared" si="20"/>
        <v>6.8591145933361478E-2</v>
      </c>
      <c r="K93" s="3">
        <f t="shared" ref="K93:K118" si="26">G93+($L$18/2)*(H93+J93)</f>
        <v>296.16491570043218</v>
      </c>
      <c r="L93" s="3"/>
    </row>
    <row r="94" spans="1:15" x14ac:dyDescent="0.25">
      <c r="A94" s="3">
        <f t="shared" si="21"/>
        <v>304</v>
      </c>
      <c r="B94" s="3">
        <f t="shared" si="22"/>
        <v>296.38369137770565</v>
      </c>
      <c r="C94" s="3">
        <f t="shared" si="18"/>
        <v>6.4873724842031563E-2</v>
      </c>
      <c r="D94" s="3"/>
      <c r="F94" s="3">
        <f t="shared" si="23"/>
        <v>304</v>
      </c>
      <c r="G94" s="3">
        <f t="shared" si="24"/>
        <v>296.16491570043218</v>
      </c>
      <c r="H94" s="3">
        <f t="shared" si="19"/>
        <v>6.8779290156215533E-2</v>
      </c>
      <c r="I94" s="3">
        <f t="shared" si="25"/>
        <v>296.44003286105703</v>
      </c>
      <c r="J94" s="3">
        <f t="shared" si="20"/>
        <v>6.386756675194119E-2</v>
      </c>
      <c r="K94" s="3">
        <f t="shared" si="26"/>
        <v>296.43020941424851</v>
      </c>
      <c r="L94" s="3"/>
    </row>
    <row r="95" spans="1:15" x14ac:dyDescent="0.25">
      <c r="A95" s="3">
        <f t="shared" si="21"/>
        <v>308</v>
      </c>
      <c r="B95" s="3">
        <f t="shared" si="22"/>
        <v>296.64318627707377</v>
      </c>
      <c r="C95" s="3">
        <f t="shared" si="18"/>
        <v>6.0238405078349273E-2</v>
      </c>
      <c r="D95" s="3"/>
      <c r="F95" s="3">
        <f t="shared" si="23"/>
        <v>308</v>
      </c>
      <c r="G95" s="3">
        <f t="shared" si="24"/>
        <v>296.43020941424851</v>
      </c>
      <c r="H95" s="3">
        <f t="shared" si="19"/>
        <v>6.4043006386000856E-2</v>
      </c>
      <c r="I95" s="3">
        <f t="shared" si="25"/>
        <v>296.68638143979251</v>
      </c>
      <c r="J95" s="3">
        <f t="shared" si="20"/>
        <v>5.9466517360343599E-2</v>
      </c>
      <c r="K95" s="3">
        <f t="shared" si="26"/>
        <v>296.67722846174121</v>
      </c>
      <c r="L95" s="3"/>
    </row>
    <row r="96" spans="1:15" x14ac:dyDescent="0.25">
      <c r="A96" s="3">
        <f t="shared" si="21"/>
        <v>312</v>
      </c>
      <c r="B96" s="3">
        <f t="shared" si="22"/>
        <v>296.88413989738717</v>
      </c>
      <c r="C96" s="3">
        <f t="shared" si="18"/>
        <v>5.5931530607037538E-2</v>
      </c>
      <c r="D96" s="3"/>
      <c r="F96" s="3">
        <f t="shared" si="23"/>
        <v>312</v>
      </c>
      <c r="G96" s="3">
        <f t="shared" si="24"/>
        <v>296.67722846174121</v>
      </c>
      <c r="H96" s="3">
        <f t="shared" si="19"/>
        <v>5.9630086110667689E-2</v>
      </c>
      <c r="I96" s="3">
        <f t="shared" si="25"/>
        <v>296.9157488061839</v>
      </c>
      <c r="J96" s="3">
        <f t="shared" si="20"/>
        <v>5.5366347178176352E-2</v>
      </c>
      <c r="K96" s="3">
        <f t="shared" si="26"/>
        <v>296.90722132831888</v>
      </c>
      <c r="L96" s="3"/>
      <c r="N96" s="10" t="s">
        <v>26</v>
      </c>
      <c r="O96" s="10"/>
    </row>
    <row r="97" spans="1:12" x14ac:dyDescent="0.25">
      <c r="A97" s="3">
        <f t="shared" si="21"/>
        <v>316</v>
      </c>
      <c r="B97" s="3">
        <f t="shared" si="22"/>
        <v>297.10786601981533</v>
      </c>
      <c r="C97" s="3">
        <f t="shared" si="18"/>
        <v>5.1930212715899531E-2</v>
      </c>
      <c r="D97" s="3"/>
      <c r="F97" s="3">
        <f t="shared" si="23"/>
        <v>316</v>
      </c>
      <c r="G97" s="3">
        <f t="shared" si="24"/>
        <v>296.90722132831888</v>
      </c>
      <c r="H97" s="3">
        <f t="shared" si="19"/>
        <v>5.5518827328230852E-2</v>
      </c>
      <c r="I97" s="3">
        <f t="shared" si="25"/>
        <v>297.1292966376318</v>
      </c>
      <c r="J97" s="3">
        <f t="shared" si="20"/>
        <v>5.1546808570701708E-2</v>
      </c>
      <c r="K97" s="3">
        <f t="shared" si="26"/>
        <v>297.12135260011672</v>
      </c>
      <c r="L97" s="3"/>
    </row>
    <row r="98" spans="1:12" x14ac:dyDescent="0.25">
      <c r="A98" s="3">
        <f t="shared" si="21"/>
        <v>320</v>
      </c>
      <c r="B98" s="3">
        <f t="shared" si="22"/>
        <v>297.31558687067894</v>
      </c>
      <c r="C98" s="3">
        <f t="shared" si="18"/>
        <v>4.8213103938625261E-2</v>
      </c>
      <c r="D98" s="3"/>
      <c r="F98" s="3">
        <f t="shared" si="23"/>
        <v>320</v>
      </c>
      <c r="G98" s="3">
        <f t="shared" si="24"/>
        <v>297.12135260011672</v>
      </c>
      <c r="H98" s="3">
        <f t="shared" si="19"/>
        <v>5.1688933696899461E-2</v>
      </c>
      <c r="I98" s="3">
        <f t="shared" si="25"/>
        <v>297.3281083349043</v>
      </c>
      <c r="J98" s="3">
        <f t="shared" si="20"/>
        <v>4.7988972861601205E-2</v>
      </c>
      <c r="K98" s="3">
        <f t="shared" si="26"/>
        <v>297.32070841323372</v>
      </c>
      <c r="L98" s="3"/>
    </row>
    <row r="99" spans="1:12" x14ac:dyDescent="0.25">
      <c r="A99" s="3">
        <f t="shared" si="21"/>
        <v>324</v>
      </c>
      <c r="B99" s="3">
        <f t="shared" si="22"/>
        <v>297.50843928643343</v>
      </c>
      <c r="C99" s="3">
        <f t="shared" si="18"/>
        <v>4.4760301915761573E-2</v>
      </c>
      <c r="D99" s="3"/>
      <c r="F99" s="3">
        <f t="shared" si="23"/>
        <v>324</v>
      </c>
      <c r="G99" s="3">
        <f t="shared" si="24"/>
        <v>297.32070841323372</v>
      </c>
      <c r="H99" s="3">
        <f t="shared" si="19"/>
        <v>4.8121430471549445E-2</v>
      </c>
      <c r="I99" s="3">
        <f t="shared" si="25"/>
        <v>297.51319413511993</v>
      </c>
      <c r="J99" s="3">
        <f t="shared" si="20"/>
        <v>4.4675150393039813E-2</v>
      </c>
      <c r="K99" s="3">
        <f t="shared" si="26"/>
        <v>297.50630157496289</v>
      </c>
      <c r="L99" s="3"/>
    </row>
    <row r="100" spans="1:12" x14ac:dyDescent="0.25">
      <c r="A100" s="3">
        <f t="shared" si="21"/>
        <v>328</v>
      </c>
      <c r="B100" s="3">
        <f t="shared" si="22"/>
        <v>297.68748049409646</v>
      </c>
      <c r="C100" s="3">
        <f t="shared" si="18"/>
        <v>4.1553258135083773E-2</v>
      </c>
      <c r="D100" s="3"/>
      <c r="F100" s="3">
        <f t="shared" si="23"/>
        <v>328</v>
      </c>
      <c r="G100" s="3">
        <f t="shared" si="24"/>
        <v>297.50630157496289</v>
      </c>
      <c r="H100" s="3">
        <f t="shared" si="19"/>
        <v>4.4798584478287211E-2</v>
      </c>
      <c r="I100" s="3">
        <f t="shared" si="25"/>
        <v>297.68549591287604</v>
      </c>
      <c r="J100" s="3">
        <f t="shared" si="20"/>
        <v>4.1588814587483536E-2</v>
      </c>
      <c r="K100" s="3">
        <f t="shared" si="26"/>
        <v>297.6790763730944</v>
      </c>
      <c r="L100" s="3"/>
    </row>
    <row r="101" spans="1:12" x14ac:dyDescent="0.25">
      <c r="A101" s="3">
        <f t="shared" si="21"/>
        <v>332</v>
      </c>
      <c r="B101" s="3">
        <f t="shared" si="22"/>
        <v>297.85369352663679</v>
      </c>
      <c r="C101" s="3">
        <f t="shared" si="18"/>
        <v>3.8574691478966749E-2</v>
      </c>
      <c r="D101" s="3"/>
      <c r="F101" s="3">
        <f t="shared" si="23"/>
        <v>332</v>
      </c>
      <c r="G101" s="3">
        <f t="shared" si="24"/>
        <v>297.6790763730944</v>
      </c>
      <c r="H101" s="3">
        <f t="shared" si="19"/>
        <v>4.1703828084009895E-2</v>
      </c>
      <c r="I101" s="3">
        <f t="shared" si="25"/>
        <v>297.84589168543044</v>
      </c>
      <c r="J101" s="3">
        <f t="shared" si="20"/>
        <v>3.8714529938049094E-2</v>
      </c>
      <c r="K101" s="3">
        <f t="shared" si="26"/>
        <v>297.83991308913852</v>
      </c>
      <c r="L101" s="3"/>
    </row>
    <row r="102" spans="1:12" x14ac:dyDescent="0.25">
      <c r="A102" s="3">
        <f t="shared" si="21"/>
        <v>336</v>
      </c>
      <c r="B102" s="3">
        <f t="shared" si="22"/>
        <v>298.00799229255267</v>
      </c>
      <c r="C102" s="3">
        <f t="shared" si="18"/>
        <v>3.5808506473842032E-2</v>
      </c>
      <c r="D102" s="3"/>
      <c r="F102" s="3">
        <f t="shared" si="23"/>
        <v>336</v>
      </c>
      <c r="G102" s="3">
        <f t="shared" si="24"/>
        <v>297.83991308913852</v>
      </c>
      <c r="H102" s="3">
        <f t="shared" si="19"/>
        <v>3.8821687089861799E-2</v>
      </c>
      <c r="I102" s="3">
        <f t="shared" si="25"/>
        <v>297.99519983749798</v>
      </c>
      <c r="J102" s="3">
        <f t="shared" si="20"/>
        <v>3.6037883832492408E-2</v>
      </c>
      <c r="K102" s="3">
        <f t="shared" si="26"/>
        <v>297.9896322309832</v>
      </c>
      <c r="L102" s="3"/>
    </row>
    <row r="103" spans="1:12" x14ac:dyDescent="0.25">
      <c r="A103" s="3">
        <f t="shared" si="21"/>
        <v>340</v>
      </c>
      <c r="B103" s="3">
        <f t="shared" si="22"/>
        <v>298.15122631844804</v>
      </c>
      <c r="C103" s="3">
        <f t="shared" si="18"/>
        <v>3.3239716111788005E-2</v>
      </c>
      <c r="D103" s="3"/>
      <c r="F103" s="3">
        <f t="shared" si="23"/>
        <v>340</v>
      </c>
      <c r="G103" s="3">
        <f t="shared" si="24"/>
        <v>297.9896322309832</v>
      </c>
      <c r="H103" s="3">
        <f t="shared" si="19"/>
        <v>3.6137712455405188E-2</v>
      </c>
      <c r="I103" s="3">
        <f t="shared" si="25"/>
        <v>298.1341830808048</v>
      </c>
      <c r="J103" s="3">
        <f t="shared" si="20"/>
        <v>3.3545422099157216E-2</v>
      </c>
      <c r="K103" s="3">
        <f t="shared" si="26"/>
        <v>298.12899850009234</v>
      </c>
      <c r="L103" s="3"/>
    </row>
    <row r="104" spans="1:12" x14ac:dyDescent="0.25">
      <c r="A104" s="3">
        <f t="shared" si="21"/>
        <v>344</v>
      </c>
      <c r="B104" s="3">
        <f t="shared" si="22"/>
        <v>298.28418518289521</v>
      </c>
      <c r="C104" s="3">
        <f t="shared" si="18"/>
        <v>3.0854369095271748E-2</v>
      </c>
      <c r="D104" s="3"/>
      <c r="F104" s="3">
        <f t="shared" si="23"/>
        <v>344</v>
      </c>
      <c r="G104" s="3">
        <f t="shared" si="24"/>
        <v>298.12899850009234</v>
      </c>
      <c r="H104" s="3">
        <f t="shared" si="19"/>
        <v>3.363841574328915E-2</v>
      </c>
      <c r="I104" s="3">
        <f t="shared" si="25"/>
        <v>298.26355216306547</v>
      </c>
      <c r="J104" s="3">
        <f t="shared" si="20"/>
        <v>3.1224588150643252E-2</v>
      </c>
      <c r="K104" s="3">
        <f t="shared" si="26"/>
        <v>298.25872450788017</v>
      </c>
      <c r="L104" s="3"/>
    </row>
    <row r="105" spans="1:12" x14ac:dyDescent="0.25">
      <c r="A105" s="3">
        <f t="shared" si="21"/>
        <v>348</v>
      </c>
      <c r="B105" s="3">
        <f t="shared" si="22"/>
        <v>298.40760265927628</v>
      </c>
      <c r="C105" s="3">
        <f t="shared" si="18"/>
        <v>2.8639481342355534E-2</v>
      </c>
      <c r="D105" s="3"/>
      <c r="F105" s="3">
        <f t="shared" si="23"/>
        <v>348</v>
      </c>
      <c r="G105" s="3">
        <f t="shared" si="24"/>
        <v>298.25872450788017</v>
      </c>
      <c r="H105" s="3">
        <f t="shared" si="19"/>
        <v>3.1311208161331629E-2</v>
      </c>
      <c r="I105" s="3">
        <f t="shared" si="25"/>
        <v>298.38396934052548</v>
      </c>
      <c r="J105" s="3">
        <f t="shared" si="20"/>
        <v>2.9063665591947316E-2</v>
      </c>
      <c r="K105" s="3">
        <f t="shared" si="26"/>
        <v>298.37947425538675</v>
      </c>
      <c r="L105" s="3"/>
    </row>
    <row r="106" spans="1:12" x14ac:dyDescent="0.25">
      <c r="A106" s="3">
        <f t="shared" si="21"/>
        <v>352</v>
      </c>
      <c r="B106" s="3">
        <f t="shared" si="22"/>
        <v>298.52216058464569</v>
      </c>
      <c r="C106" s="3">
        <f t="shared" si="18"/>
        <v>2.6582971580153811E-2</v>
      </c>
      <c r="D106" s="3"/>
      <c r="F106" s="3">
        <f t="shared" si="23"/>
        <v>352</v>
      </c>
      <c r="G106" s="3">
        <f t="shared" si="24"/>
        <v>298.37947425538675</v>
      </c>
      <c r="H106" s="3">
        <f t="shared" si="19"/>
        <v>2.914434306976544E-2</v>
      </c>
      <c r="I106" s="3">
        <f t="shared" si="25"/>
        <v>298.49605162766579</v>
      </c>
      <c r="J106" s="3">
        <f t="shared" si="20"/>
        <v>2.705172415364563E-2</v>
      </c>
      <c r="K106" s="3">
        <f t="shared" si="26"/>
        <v>298.4918663898336</v>
      </c>
      <c r="L106" s="3"/>
    </row>
    <row r="107" spans="1:12" x14ac:dyDescent="0.25">
      <c r="A107" s="3">
        <f t="shared" si="21"/>
        <v>356</v>
      </c>
      <c r="B107" s="3">
        <f t="shared" si="22"/>
        <v>298.62849247096631</v>
      </c>
      <c r="C107" s="3">
        <f t="shared" si="18"/>
        <v>2.4673600848347032E-2</v>
      </c>
      <c r="D107" s="3"/>
      <c r="F107" s="3">
        <f t="shared" si="23"/>
        <v>356</v>
      </c>
      <c r="G107" s="3">
        <f t="shared" si="24"/>
        <v>298.4918663898336</v>
      </c>
      <c r="H107" s="3">
        <f t="shared" si="19"/>
        <v>2.7126861814988846E-2</v>
      </c>
      <c r="I107" s="3">
        <f t="shared" si="25"/>
        <v>298.60037383709357</v>
      </c>
      <c r="J107" s="3">
        <f t="shared" si="20"/>
        <v>2.5178568807095698E-2</v>
      </c>
      <c r="K107" s="3">
        <f t="shared" si="26"/>
        <v>298.59647725107777</v>
      </c>
      <c r="L107" s="3"/>
    </row>
    <row r="108" spans="1:12" x14ac:dyDescent="0.25">
      <c r="A108" s="3">
        <f t="shared" si="21"/>
        <v>360</v>
      </c>
      <c r="B108" s="3">
        <f t="shared" si="22"/>
        <v>298.72718687435969</v>
      </c>
      <c r="C108" s="3">
        <f t="shared" si="18"/>
        <v>2.2900915731518312E-2</v>
      </c>
      <c r="D108" s="3"/>
      <c r="F108" s="3">
        <f t="shared" si="23"/>
        <v>360</v>
      </c>
      <c r="G108" s="3">
        <f t="shared" si="24"/>
        <v>298.59647725107777</v>
      </c>
      <c r="H108" s="3">
        <f t="shared" si="19"/>
        <v>2.5248542747396106E-2</v>
      </c>
      <c r="I108" s="3">
        <f t="shared" si="25"/>
        <v>298.69747142206734</v>
      </c>
      <c r="J108" s="3">
        <f t="shared" si="20"/>
        <v>2.343469191686302E-2</v>
      </c>
      <c r="K108" s="3">
        <f t="shared" si="26"/>
        <v>298.69384372040628</v>
      </c>
      <c r="L108" s="3"/>
    </row>
    <row r="109" spans="1:12" x14ac:dyDescent="0.25">
      <c r="A109" s="3">
        <f t="shared" si="21"/>
        <v>364</v>
      </c>
      <c r="B109" s="3">
        <f t="shared" si="22"/>
        <v>298.81879053728574</v>
      </c>
      <c r="C109" s="3">
        <f t="shared" si="18"/>
        <v>2.1255195138436482E-2</v>
      </c>
      <c r="D109" s="3"/>
      <c r="F109" s="3">
        <f t="shared" si="23"/>
        <v>364</v>
      </c>
      <c r="G109" s="3">
        <f t="shared" si="24"/>
        <v>298.69384372040628</v>
      </c>
      <c r="H109" s="3">
        <f t="shared" si="19"/>
        <v>2.3499853279004057E-2</v>
      </c>
      <c r="I109" s="3">
        <f t="shared" si="25"/>
        <v>298.7878431335223</v>
      </c>
      <c r="J109" s="3">
        <f t="shared" si="20"/>
        <v>2.1811228285625889E-2</v>
      </c>
      <c r="K109" s="3">
        <f t="shared" si="26"/>
        <v>298.78446588353552</v>
      </c>
      <c r="L109" s="3"/>
    </row>
    <row r="110" spans="1:12" x14ac:dyDescent="0.25">
      <c r="A110" s="3">
        <f t="shared" si="21"/>
        <v>368</v>
      </c>
      <c r="B110" s="3">
        <f t="shared" si="22"/>
        <v>298.90381131783948</v>
      </c>
      <c r="C110" s="3">
        <f t="shared" si="18"/>
        <v>1.9727400447563763E-2</v>
      </c>
      <c r="D110" s="3"/>
      <c r="F110" s="3">
        <f t="shared" si="23"/>
        <v>368</v>
      </c>
      <c r="G110" s="3">
        <f t="shared" si="24"/>
        <v>298.78446588353552</v>
      </c>
      <c r="H110" s="3">
        <f t="shared" si="19"/>
        <v>2.1871904836488272E-2</v>
      </c>
      <c r="I110" s="3">
        <f t="shared" si="25"/>
        <v>298.87195350288147</v>
      </c>
      <c r="J110" s="3">
        <f t="shared" si="20"/>
        <v>2.0299912948040826E-2</v>
      </c>
      <c r="K110" s="3">
        <f t="shared" si="26"/>
        <v>298.86880951910456</v>
      </c>
      <c r="L110" s="3"/>
    </row>
    <row r="111" spans="1:12" x14ac:dyDescent="0.25">
      <c r="A111" s="3">
        <f t="shared" si="21"/>
        <v>372</v>
      </c>
      <c r="B111" s="3">
        <f t="shared" si="22"/>
        <v>298.98272091962974</v>
      </c>
      <c r="C111" s="3">
        <f t="shared" si="18"/>
        <v>1.8309128840898425E-2</v>
      </c>
      <c r="D111" s="3"/>
      <c r="F111" s="3">
        <f t="shared" si="23"/>
        <v>372</v>
      </c>
      <c r="G111" s="3">
        <f t="shared" si="24"/>
        <v>298.86880951910456</v>
      </c>
      <c r="H111" s="3">
        <f t="shared" si="19"/>
        <v>2.0356410566397341E-2</v>
      </c>
      <c r="I111" s="3">
        <f t="shared" si="25"/>
        <v>298.95023516137013</v>
      </c>
      <c r="J111" s="3">
        <f t="shared" si="20"/>
        <v>1.8893041572441767E-2</v>
      </c>
      <c r="K111" s="3">
        <f t="shared" si="26"/>
        <v>298.94730842338225</v>
      </c>
      <c r="L111" s="3"/>
    </row>
    <row r="112" spans="1:12" x14ac:dyDescent="0.25">
      <c r="A112" s="3">
        <f t="shared" si="21"/>
        <v>376</v>
      </c>
      <c r="B112" s="3">
        <f t="shared" si="22"/>
        <v>299.05595743499333</v>
      </c>
      <c r="C112" s="3">
        <f t="shared" si="18"/>
        <v>1.6992569652149004E-2</v>
      </c>
      <c r="D112" s="3"/>
      <c r="F112" s="3">
        <f t="shared" si="23"/>
        <v>376</v>
      </c>
      <c r="G112" s="3">
        <f t="shared" si="24"/>
        <v>298.94730842338225</v>
      </c>
      <c r="H112" s="3">
        <f t="shared" si="19"/>
        <v>1.8945645651585526E-2</v>
      </c>
      <c r="I112" s="3">
        <f t="shared" si="25"/>
        <v>299.02309100598859</v>
      </c>
      <c r="J112" s="3">
        <f t="shared" si="20"/>
        <v>1.7583433332418994E-2</v>
      </c>
      <c r="K112" s="3">
        <f t="shared" si="26"/>
        <v>299.02036658135029</v>
      </c>
      <c r="L112" s="3"/>
    </row>
    <row r="113" spans="1:20" x14ac:dyDescent="0.25">
      <c r="A113" s="3">
        <f t="shared" si="21"/>
        <v>380</v>
      </c>
      <c r="B113" s="3">
        <f t="shared" si="22"/>
        <v>299.12392771360192</v>
      </c>
      <c r="C113" s="3">
        <f t="shared" si="18"/>
        <v>1.577046356015856E-2</v>
      </c>
      <c r="D113" s="3"/>
      <c r="F113" s="3">
        <f t="shared" si="23"/>
        <v>380</v>
      </c>
      <c r="G113" s="3">
        <f t="shared" si="24"/>
        <v>299.02036658135029</v>
      </c>
      <c r="H113" s="3">
        <f t="shared" si="19"/>
        <v>1.7632410101058683E-2</v>
      </c>
      <c r="I113" s="3">
        <f t="shared" si="25"/>
        <v>299.09089622175452</v>
      </c>
      <c r="J113" s="3">
        <f t="shared" si="20"/>
        <v>1.6364396114213406E-2</v>
      </c>
      <c r="K113" s="3">
        <f t="shared" si="26"/>
        <v>299.08836019378083</v>
      </c>
      <c r="L113" s="3"/>
    </row>
    <row r="114" spans="1:20" x14ac:dyDescent="0.25">
      <c r="A114" s="3">
        <f t="shared" si="21"/>
        <v>384</v>
      </c>
      <c r="B114" s="3">
        <f t="shared" si="22"/>
        <v>299.18700956784255</v>
      </c>
      <c r="C114" s="3">
        <f t="shared" si="18"/>
        <v>1.4636064464065549E-2</v>
      </c>
      <c r="D114" s="3"/>
      <c r="F114" s="3">
        <f t="shared" si="23"/>
        <v>384</v>
      </c>
      <c r="G114" s="3">
        <f t="shared" si="24"/>
        <v>299.08836019378083</v>
      </c>
      <c r="H114" s="3">
        <f t="shared" si="19"/>
        <v>1.6409993879223757E-2</v>
      </c>
      <c r="I114" s="3">
        <f t="shared" si="25"/>
        <v>299.15400016929772</v>
      </c>
      <c r="J114" s="3">
        <f t="shared" si="20"/>
        <v>1.5229693930077177E-2</v>
      </c>
      <c r="K114" s="3">
        <f t="shared" si="26"/>
        <v>299.15163956939944</v>
      </c>
      <c r="L114" s="3"/>
      <c r="N114" s="10" t="s">
        <v>21</v>
      </c>
      <c r="O114" s="10"/>
    </row>
    <row r="115" spans="1:20" x14ac:dyDescent="0.25">
      <c r="A115" s="3">
        <f t="shared" ref="A115:A118" si="27">A114+$D$18</f>
        <v>388</v>
      </c>
      <c r="B115" s="3">
        <f t="shared" ref="B115:B118" si="28">B114+$D$18*C114</f>
        <v>299.24555382569883</v>
      </c>
      <c r="C115" s="3">
        <f t="shared" si="18"/>
        <v>1.3583103882706674E-2</v>
      </c>
      <c r="D115" s="3"/>
      <c r="F115" s="3">
        <f t="shared" si="23"/>
        <v>388</v>
      </c>
      <c r="G115" s="3">
        <f t="shared" si="24"/>
        <v>299.15163956939944</v>
      </c>
      <c r="H115" s="3">
        <f t="shared" si="19"/>
        <v>1.5272144244745999E-2</v>
      </c>
      <c r="I115" s="3">
        <f t="shared" si="25"/>
        <v>299.21272814637842</v>
      </c>
      <c r="J115" s="3">
        <f t="shared" si="20"/>
        <v>1.4173516412631901E-2</v>
      </c>
      <c r="K115" s="3">
        <f t="shared" si="26"/>
        <v>299.21053089071421</v>
      </c>
      <c r="L115" s="3"/>
    </row>
    <row r="116" spans="1:20" x14ac:dyDescent="0.25">
      <c r="A116" s="3">
        <f t="shared" si="27"/>
        <v>392</v>
      </c>
      <c r="B116" s="3">
        <f t="shared" si="28"/>
        <v>299.29988624122967</v>
      </c>
      <c r="C116" s="3">
        <f t="shared" si="18"/>
        <v>1.2605757727268262E-2</v>
      </c>
      <c r="D116" s="3"/>
      <c r="F116" s="3">
        <f t="shared" si="23"/>
        <v>392</v>
      </c>
      <c r="G116" s="3">
        <f t="shared" si="24"/>
        <v>299.21053089071421</v>
      </c>
      <c r="H116" s="3">
        <f t="shared" si="19"/>
        <v>1.4213035173988846E-2</v>
      </c>
      <c r="I116" s="3">
        <f t="shared" si="25"/>
        <v>299.26738303141019</v>
      </c>
      <c r="J116" s="3">
        <f t="shared" si="20"/>
        <v>1.3190450270016751E-2</v>
      </c>
      <c r="K116" s="3">
        <f t="shared" si="26"/>
        <v>299.26533786160223</v>
      </c>
      <c r="L116" s="3"/>
    </row>
    <row r="117" spans="1:20" x14ac:dyDescent="0.25">
      <c r="A117" s="3">
        <f t="shared" si="27"/>
        <v>396</v>
      </c>
      <c r="B117" s="3">
        <f t="shared" si="28"/>
        <v>299.35030927213876</v>
      </c>
      <c r="C117" s="3">
        <f t="shared" si="18"/>
        <v>1.1698615302743222E-2</v>
      </c>
      <c r="D117" s="3"/>
      <c r="F117" s="3">
        <f t="shared" si="23"/>
        <v>396</v>
      </c>
      <c r="G117" s="3">
        <f t="shared" si="24"/>
        <v>299.26533786160223</v>
      </c>
      <c r="H117" s="3">
        <f t="shared" si="19"/>
        <v>1.3227238748817165E-2</v>
      </c>
      <c r="I117" s="3">
        <f t="shared" si="25"/>
        <v>299.31824681659748</v>
      </c>
      <c r="J117" s="3">
        <f t="shared" si="20"/>
        <v>1.2275452586805612E-2</v>
      </c>
      <c r="K117" s="3">
        <f t="shared" si="26"/>
        <v>299.31634324427347</v>
      </c>
      <c r="L117" s="3"/>
    </row>
    <row r="118" spans="1:20" x14ac:dyDescent="0.25">
      <c r="A118" s="5">
        <f t="shared" si="27"/>
        <v>400</v>
      </c>
      <c r="B118" s="2">
        <f t="shared" si="28"/>
        <v>299.39710373334975</v>
      </c>
      <c r="C118" s="5">
        <f t="shared" si="18"/>
        <v>1.0856650400558363E-2</v>
      </c>
      <c r="D118" s="5"/>
      <c r="E118" t="s">
        <v>8</v>
      </c>
      <c r="F118" s="5">
        <f t="shared" si="23"/>
        <v>400</v>
      </c>
      <c r="G118" s="5">
        <f t="shared" si="24"/>
        <v>299.31634324427347</v>
      </c>
      <c r="H118" s="5">
        <f t="shared" si="19"/>
        <v>1.2309698393667454E-2</v>
      </c>
      <c r="I118" s="5">
        <f t="shared" si="25"/>
        <v>299.36558203784813</v>
      </c>
      <c r="J118" s="5">
        <f t="shared" si="20"/>
        <v>1.1423825860830983E-2</v>
      </c>
      <c r="K118" s="2">
        <f t="shared" si="26"/>
        <v>299.36381029278249</v>
      </c>
      <c r="L118" s="5"/>
      <c r="M118" t="s">
        <v>16</v>
      </c>
      <c r="N118" s="1">
        <v>300</v>
      </c>
    </row>
    <row r="120" spans="1:20" x14ac:dyDescent="0.25">
      <c r="A120" t="s">
        <v>17</v>
      </c>
      <c r="N120" s="12" t="s">
        <v>22</v>
      </c>
      <c r="O120" s="12"/>
      <c r="P120" s="12"/>
      <c r="Q120" s="12"/>
      <c r="R120" s="12"/>
      <c r="S120" s="12"/>
      <c r="T120" s="12"/>
    </row>
    <row r="121" spans="1:20" x14ac:dyDescent="0.25">
      <c r="N121" s="12" t="s">
        <v>23</v>
      </c>
      <c r="O121" s="12"/>
      <c r="P121" s="12"/>
      <c r="Q121" s="12"/>
      <c r="R121" s="12"/>
      <c r="S121" s="12"/>
      <c r="T121" s="12"/>
    </row>
    <row r="122" spans="1:20" x14ac:dyDescent="0.25">
      <c r="N122" s="12" t="s">
        <v>24</v>
      </c>
      <c r="O122" s="12"/>
      <c r="P122" s="12"/>
      <c r="Q122" s="12"/>
      <c r="R122" s="12"/>
      <c r="S122" s="12"/>
      <c r="T122" s="12"/>
    </row>
    <row r="132" spans="1:11" x14ac:dyDescent="0.25">
      <c r="A132" s="10" t="s">
        <v>1</v>
      </c>
      <c r="F132" s="10" t="s">
        <v>15</v>
      </c>
    </row>
    <row r="134" spans="1:11" x14ac:dyDescent="0.25">
      <c r="B134" s="2" t="s">
        <v>18</v>
      </c>
      <c r="C134" s="3">
        <v>5</v>
      </c>
    </row>
    <row r="135" spans="1:11" x14ac:dyDescent="0.25">
      <c r="B135" s="2" t="s">
        <v>19</v>
      </c>
      <c r="C135" s="3">
        <v>2</v>
      </c>
    </row>
    <row r="136" spans="1:11" x14ac:dyDescent="0.25">
      <c r="B136" s="2" t="s">
        <v>3</v>
      </c>
      <c r="C136" s="3">
        <v>0.5</v>
      </c>
    </row>
    <row r="138" spans="1:11" x14ac:dyDescent="0.25">
      <c r="F138" s="7"/>
      <c r="G138" s="7"/>
      <c r="H138" s="7"/>
      <c r="I138" s="13" t="s">
        <v>9</v>
      </c>
      <c r="J138" s="13" t="s">
        <v>10</v>
      </c>
      <c r="K138" s="7"/>
    </row>
    <row r="139" spans="1:11" x14ac:dyDescent="0.25">
      <c r="A139" s="4" t="s">
        <v>7</v>
      </c>
      <c r="B139" s="4" t="s">
        <v>2</v>
      </c>
      <c r="C139" s="4" t="s">
        <v>4</v>
      </c>
      <c r="D139" s="8"/>
      <c r="F139" s="4" t="s">
        <v>7</v>
      </c>
      <c r="G139" s="4" t="s">
        <v>11</v>
      </c>
      <c r="H139" s="4" t="s">
        <v>4</v>
      </c>
      <c r="I139" s="4" t="s">
        <v>12</v>
      </c>
      <c r="J139" s="4" t="s">
        <v>13</v>
      </c>
      <c r="K139" s="4" t="s">
        <v>14</v>
      </c>
    </row>
    <row r="140" spans="1:11" x14ac:dyDescent="0.25">
      <c r="A140" s="3">
        <v>0</v>
      </c>
      <c r="B140" s="3">
        <v>0.5</v>
      </c>
      <c r="C140" s="3">
        <f xml:space="preserve"> $C$134 * B140^(2/3) - $C$135 * B140</f>
        <v>2.1498026247371831</v>
      </c>
      <c r="F140" s="3">
        <v>0</v>
      </c>
      <c r="G140" s="3">
        <v>0.5</v>
      </c>
      <c r="H140" s="3">
        <f>$C$134 * G140^(2/3) - $C$135 * G140</f>
        <v>2.1498026247371831</v>
      </c>
      <c r="I140" s="3">
        <f>G140 + $C$136*H140</f>
        <v>1.5749013123685915</v>
      </c>
      <c r="J140" s="3">
        <f>$C$134 * I140^(2/3) - $C$135 * I140</f>
        <v>3.6183825804897447</v>
      </c>
      <c r="K140" s="3">
        <f>G140 + ($C$136/2) * (H140 + J140)</f>
        <v>1.9420463013067319</v>
      </c>
    </row>
    <row r="141" spans="1:11" x14ac:dyDescent="0.25">
      <c r="A141" s="3">
        <f>A140+$C$136</f>
        <v>0.5</v>
      </c>
      <c r="B141" s="3">
        <f xml:space="preserve"> B140 + $C$136 * C140</f>
        <v>1.5749013123685915</v>
      </c>
      <c r="C141" s="3">
        <f xml:space="preserve"> $C$134 * B141^(2/3) - $C$135 * B141</f>
        <v>3.6183825804897447</v>
      </c>
      <c r="D141" s="6"/>
      <c r="F141" s="3">
        <f>F140+$C$136</f>
        <v>0.5</v>
      </c>
      <c r="G141" s="3">
        <f>K140</f>
        <v>1.9420463013067319</v>
      </c>
      <c r="H141" s="3">
        <f>$C$134 * G141^(2/3) - $C$135 * G141</f>
        <v>3.8988362006114583</v>
      </c>
      <c r="I141" s="3">
        <f>G141 + $C$136*H141</f>
        <v>3.8914644016124611</v>
      </c>
      <c r="J141" s="3">
        <f>$C$134 * I141^(2/3) - $C$135 * I141</f>
        <v>4.5873279073770901</v>
      </c>
      <c r="K141" s="3">
        <f>G141 + ($C$136/2) * (H141 + J141)</f>
        <v>4.0635873283038695</v>
      </c>
    </row>
    <row r="142" spans="1:11" x14ac:dyDescent="0.25">
      <c r="A142" s="3">
        <f t="shared" ref="A142:A146" si="29">A141+$C$136</f>
        <v>1</v>
      </c>
      <c r="B142" s="3">
        <f t="shared" ref="B142:B146" si="30" xml:space="preserve"> B141 + $C$136 * C141</f>
        <v>3.3840926026134639</v>
      </c>
      <c r="C142" s="3">
        <f t="shared" ref="C142:C180" si="31" xml:space="preserve"> $C$134 * B142^(2/3) - $C$135 * B142</f>
        <v>4.5020115164563581</v>
      </c>
      <c r="D142" s="6"/>
      <c r="F142" s="3">
        <f t="shared" ref="F142:F180" si="32">F141+$C$136</f>
        <v>1</v>
      </c>
      <c r="G142" s="3">
        <f t="shared" ref="G142:G180" si="33">K141</f>
        <v>4.0635873283038695</v>
      </c>
      <c r="H142" s="3">
        <f t="shared" ref="H142:H180" si="34">$C$134 * G142^(2/3) - $C$135 * G142</f>
        <v>4.605209570472601</v>
      </c>
      <c r="I142" s="3">
        <f t="shared" ref="I142:I180" si="35">G142 + $C$136*H142</f>
        <v>6.36619211354017</v>
      </c>
      <c r="J142" s="3">
        <f t="shared" ref="J142:J180" si="36">$C$134 * I142^(2/3) - $C$135 * I142</f>
        <v>4.4423423256776626</v>
      </c>
      <c r="K142" s="3">
        <f t="shared" ref="K142:K180" si="37">G142 + ($C$136/2) * (H142 + J142)</f>
        <v>6.3254753023414354</v>
      </c>
    </row>
    <row r="143" spans="1:11" x14ac:dyDescent="0.25">
      <c r="A143" s="3">
        <f t="shared" si="29"/>
        <v>1.5</v>
      </c>
      <c r="B143" s="3">
        <f t="shared" si="30"/>
        <v>5.635098360841643</v>
      </c>
      <c r="C143" s="3">
        <f t="shared" si="31"/>
        <v>4.5630873993193379</v>
      </c>
      <c r="D143" s="6"/>
      <c r="F143" s="3">
        <f t="shared" si="32"/>
        <v>1.5</v>
      </c>
      <c r="G143" s="3">
        <f t="shared" si="33"/>
        <v>6.3254753023414354</v>
      </c>
      <c r="H143" s="3">
        <f t="shared" si="34"/>
        <v>4.45046706452767</v>
      </c>
      <c r="I143" s="3">
        <f t="shared" si="35"/>
        <v>8.5507088346052704</v>
      </c>
      <c r="J143" s="3">
        <f t="shared" si="36"/>
        <v>3.8062096353458017</v>
      </c>
      <c r="K143" s="3">
        <f t="shared" si="37"/>
        <v>8.3896444773098029</v>
      </c>
    </row>
    <row r="144" spans="1:11" x14ac:dyDescent="0.25">
      <c r="A144" s="3">
        <f t="shared" si="29"/>
        <v>2</v>
      </c>
      <c r="B144" s="3">
        <f t="shared" si="30"/>
        <v>7.9166420605013119</v>
      </c>
      <c r="C144" s="3">
        <f t="shared" si="31"/>
        <v>4.0275435867173393</v>
      </c>
      <c r="D144" s="6"/>
      <c r="F144" s="3">
        <f t="shared" si="32"/>
        <v>2</v>
      </c>
      <c r="G144" s="3">
        <f t="shared" si="33"/>
        <v>8.3896444773098029</v>
      </c>
      <c r="H144" s="3">
        <f t="shared" si="34"/>
        <v>3.8649578558813253</v>
      </c>
      <c r="I144" s="3">
        <f t="shared" si="35"/>
        <v>10.322123405250466</v>
      </c>
      <c r="J144" s="3">
        <f t="shared" si="36"/>
        <v>3.0594473854638409</v>
      </c>
      <c r="K144" s="3">
        <f t="shared" si="37"/>
        <v>10.120745787646094</v>
      </c>
    </row>
    <row r="145" spans="1:14" x14ac:dyDescent="0.25">
      <c r="A145" s="3">
        <f t="shared" si="29"/>
        <v>2.5</v>
      </c>
      <c r="B145" s="3">
        <f t="shared" si="30"/>
        <v>9.9304138538599815</v>
      </c>
      <c r="C145" s="3">
        <f t="shared" si="31"/>
        <v>3.2393277815832846</v>
      </c>
      <c r="D145" s="6"/>
      <c r="F145" s="3">
        <f t="shared" si="32"/>
        <v>2.5</v>
      </c>
      <c r="G145" s="3">
        <f t="shared" si="33"/>
        <v>10.120745787646094</v>
      </c>
      <c r="H145" s="3">
        <f t="shared" si="34"/>
        <v>3.1528960724856958</v>
      </c>
      <c r="I145" s="3">
        <f t="shared" si="35"/>
        <v>11.697193823888941</v>
      </c>
      <c r="J145" s="3">
        <f t="shared" si="36"/>
        <v>2.3702750889533064</v>
      </c>
      <c r="K145" s="3">
        <f t="shared" si="37"/>
        <v>11.501538578005844</v>
      </c>
    </row>
    <row r="146" spans="1:14" x14ac:dyDescent="0.25">
      <c r="A146" s="3">
        <f t="shared" si="29"/>
        <v>3</v>
      </c>
      <c r="B146" s="3">
        <f t="shared" si="30"/>
        <v>11.550077744651624</v>
      </c>
      <c r="C146" s="3">
        <f t="shared" si="31"/>
        <v>2.4480230609438394</v>
      </c>
      <c r="D146" s="6"/>
      <c r="F146" s="3">
        <f t="shared" si="32"/>
        <v>3</v>
      </c>
      <c r="G146" s="3">
        <f t="shared" si="33"/>
        <v>11.501538578005844</v>
      </c>
      <c r="H146" s="3">
        <f t="shared" si="34"/>
        <v>2.4734737378645697</v>
      </c>
      <c r="I146" s="3">
        <f t="shared" si="35"/>
        <v>12.738275446938129</v>
      </c>
      <c r="J146" s="3">
        <f t="shared" si="36"/>
        <v>1.7950371592493646</v>
      </c>
      <c r="K146" s="3">
        <f t="shared" si="37"/>
        <v>12.568666302284328</v>
      </c>
    </row>
    <row r="147" spans="1:14" x14ac:dyDescent="0.25">
      <c r="A147" s="3">
        <f t="shared" ref="A147:A160" si="38">A146+$C$136</f>
        <v>3.5</v>
      </c>
      <c r="B147" s="3">
        <f t="shared" ref="B147:B160" si="39" xml:space="preserve"> B146 + $C$136 * C146</f>
        <v>12.774089275123544</v>
      </c>
      <c r="C147" s="3">
        <f t="shared" si="31"/>
        <v>1.7745018649717572</v>
      </c>
      <c r="D147" s="6"/>
      <c r="F147" s="3">
        <f t="shared" si="32"/>
        <v>3.5</v>
      </c>
      <c r="G147" s="3">
        <f t="shared" si="33"/>
        <v>12.568666302284328</v>
      </c>
      <c r="H147" s="3">
        <f t="shared" si="34"/>
        <v>1.8916356537778753</v>
      </c>
      <c r="I147" s="3">
        <f t="shared" si="35"/>
        <v>13.514484129173265</v>
      </c>
      <c r="J147" s="3">
        <f t="shared" si="36"/>
        <v>1.3395282505040811</v>
      </c>
      <c r="K147" s="3">
        <f t="shared" si="37"/>
        <v>13.376457278354817</v>
      </c>
    </row>
    <row r="148" spans="1:14" x14ac:dyDescent="0.25">
      <c r="A148" s="3">
        <f t="shared" si="38"/>
        <v>4</v>
      </c>
      <c r="B148" s="3">
        <f t="shared" si="39"/>
        <v>13.661340207609422</v>
      </c>
      <c r="C148" s="3">
        <f t="shared" si="31"/>
        <v>1.2509578335170524</v>
      </c>
      <c r="D148" s="6"/>
      <c r="F148" s="3">
        <f t="shared" si="32"/>
        <v>4</v>
      </c>
      <c r="G148" s="3">
        <f t="shared" si="33"/>
        <v>13.376457278354817</v>
      </c>
      <c r="H148" s="3">
        <f t="shared" si="34"/>
        <v>1.4220952294137525</v>
      </c>
      <c r="I148" s="3">
        <f t="shared" si="35"/>
        <v>14.087504893061693</v>
      </c>
      <c r="J148" s="3">
        <f t="shared" si="36"/>
        <v>0.98981629459815323</v>
      </c>
      <c r="K148" s="3">
        <f t="shared" si="37"/>
        <v>13.979435159357793</v>
      </c>
    </row>
    <row r="149" spans="1:14" x14ac:dyDescent="0.25">
      <c r="A149" s="3">
        <f t="shared" si="38"/>
        <v>4.5</v>
      </c>
      <c r="B149" s="3">
        <f t="shared" si="39"/>
        <v>14.286819124367948</v>
      </c>
      <c r="C149" s="3">
        <f t="shared" si="31"/>
        <v>0.86563165829121047</v>
      </c>
      <c r="D149" s="6"/>
      <c r="F149" s="3">
        <f t="shared" si="32"/>
        <v>4.5</v>
      </c>
      <c r="G149" s="3">
        <f t="shared" si="33"/>
        <v>13.979435159357793</v>
      </c>
      <c r="H149" s="3">
        <f t="shared" si="34"/>
        <v>1.0566092973431687</v>
      </c>
      <c r="I149" s="3">
        <f t="shared" si="35"/>
        <v>14.507739808029378</v>
      </c>
      <c r="J149" s="3">
        <f t="shared" si="36"/>
        <v>0.72649804041568444</v>
      </c>
      <c r="K149" s="3">
        <f t="shared" si="37"/>
        <v>14.425211993797507</v>
      </c>
    </row>
    <row r="150" spans="1:14" x14ac:dyDescent="0.25">
      <c r="A150" s="3">
        <f t="shared" si="38"/>
        <v>5</v>
      </c>
      <c r="B150" s="3">
        <f t="shared" si="39"/>
        <v>14.719634953513554</v>
      </c>
      <c r="C150" s="3">
        <f t="shared" si="31"/>
        <v>0.59160816895234447</v>
      </c>
      <c r="D150" s="6"/>
      <c r="F150" s="3">
        <f t="shared" si="32"/>
        <v>5</v>
      </c>
      <c r="G150" s="3">
        <f t="shared" si="33"/>
        <v>14.425211993797507</v>
      </c>
      <c r="H150" s="3">
        <f t="shared" si="34"/>
        <v>0.77865423420850632</v>
      </c>
      <c r="I150" s="3">
        <f t="shared" si="35"/>
        <v>14.814539110901761</v>
      </c>
      <c r="J150" s="3">
        <f t="shared" si="36"/>
        <v>0.53074332919998923</v>
      </c>
      <c r="K150" s="3">
        <f t="shared" si="37"/>
        <v>14.752561384649631</v>
      </c>
    </row>
    <row r="151" spans="1:14" x14ac:dyDescent="0.25">
      <c r="A151" s="3">
        <f t="shared" si="38"/>
        <v>5.5</v>
      </c>
      <c r="B151" s="3">
        <f t="shared" si="39"/>
        <v>15.015439037989726</v>
      </c>
      <c r="C151" s="3">
        <f t="shared" si="31"/>
        <v>0.40099573442046221</v>
      </c>
      <c r="D151" s="6"/>
      <c r="F151" s="3">
        <f t="shared" si="32"/>
        <v>5.5</v>
      </c>
      <c r="G151" s="3">
        <f t="shared" si="33"/>
        <v>14.752561384649631</v>
      </c>
      <c r="H151" s="3">
        <f t="shared" si="34"/>
        <v>0.57052278279685709</v>
      </c>
      <c r="I151" s="3">
        <f t="shared" si="35"/>
        <v>15.03782277604806</v>
      </c>
      <c r="J151" s="3">
        <f t="shared" si="36"/>
        <v>0.38646424681635239</v>
      </c>
      <c r="K151" s="3">
        <f t="shared" si="37"/>
        <v>14.991808142052934</v>
      </c>
    </row>
    <row r="152" spans="1:14" x14ac:dyDescent="0.25">
      <c r="A152" s="3">
        <f t="shared" si="38"/>
        <v>6</v>
      </c>
      <c r="B152" s="3">
        <f t="shared" si="39"/>
        <v>15.215936905199957</v>
      </c>
      <c r="C152" s="3">
        <f t="shared" si="31"/>
        <v>0.27030076699496774</v>
      </c>
      <c r="D152" s="6"/>
      <c r="F152" s="3">
        <f t="shared" si="32"/>
        <v>6</v>
      </c>
      <c r="G152" s="3">
        <f t="shared" si="33"/>
        <v>14.991808142052934</v>
      </c>
      <c r="H152" s="3">
        <f t="shared" si="34"/>
        <v>0.41632056689103081</v>
      </c>
      <c r="I152" s="3">
        <f t="shared" si="35"/>
        <v>15.199968425498449</v>
      </c>
      <c r="J152" s="3">
        <f t="shared" si="36"/>
        <v>0.28075354845933376</v>
      </c>
      <c r="K152" s="3">
        <f t="shared" si="37"/>
        <v>15.166076670890526</v>
      </c>
    </row>
    <row r="153" spans="1:14" x14ac:dyDescent="0.25">
      <c r="A153" s="3">
        <f t="shared" si="38"/>
        <v>6.5</v>
      </c>
      <c r="B153" s="3">
        <f t="shared" si="39"/>
        <v>15.351087288697441</v>
      </c>
      <c r="C153" s="3">
        <f t="shared" si="31"/>
        <v>0.181533006985795</v>
      </c>
      <c r="D153" s="6"/>
      <c r="F153" s="3">
        <f t="shared" si="32"/>
        <v>6.5</v>
      </c>
      <c r="G153" s="3">
        <f t="shared" si="33"/>
        <v>15.166076670890526</v>
      </c>
      <c r="H153" s="3">
        <f t="shared" si="34"/>
        <v>0.30291375091239559</v>
      </c>
      <c r="I153" s="3">
        <f t="shared" si="35"/>
        <v>15.317533546346723</v>
      </c>
      <c r="J153" s="3">
        <f t="shared" si="36"/>
        <v>0.20362123373244856</v>
      </c>
      <c r="K153" s="3">
        <f t="shared" si="37"/>
        <v>15.292710417051737</v>
      </c>
    </row>
    <row r="154" spans="1:14" x14ac:dyDescent="0.25">
      <c r="A154" s="3">
        <f t="shared" si="38"/>
        <v>7</v>
      </c>
      <c r="B154" s="3">
        <f t="shared" si="39"/>
        <v>15.441853792190338</v>
      </c>
      <c r="C154" s="3">
        <f t="shared" si="31"/>
        <v>0.12161792019751871</v>
      </c>
      <c r="D154" s="6"/>
      <c r="F154" s="3">
        <f t="shared" si="32"/>
        <v>7</v>
      </c>
      <c r="G154" s="3">
        <f t="shared" si="33"/>
        <v>15.292710417051737</v>
      </c>
      <c r="H154" s="3">
        <f t="shared" si="34"/>
        <v>0.21994099296688319</v>
      </c>
      <c r="I154" s="3">
        <f t="shared" si="35"/>
        <v>15.402680913535178</v>
      </c>
      <c r="J154" s="3">
        <f t="shared" si="36"/>
        <v>0.14750529744897634</v>
      </c>
      <c r="K154" s="3">
        <f t="shared" si="37"/>
        <v>15.384571989655701</v>
      </c>
    </row>
    <row r="155" spans="1:14" x14ac:dyDescent="0.25">
      <c r="A155" s="3">
        <f t="shared" si="38"/>
        <v>7.5</v>
      </c>
      <c r="B155" s="3">
        <f t="shared" si="39"/>
        <v>15.502662752289098</v>
      </c>
      <c r="C155" s="3">
        <f t="shared" si="31"/>
        <v>8.1344565544483771E-2</v>
      </c>
      <c r="D155" s="6"/>
      <c r="F155" s="3">
        <f t="shared" si="32"/>
        <v>7.5</v>
      </c>
      <c r="G155" s="3">
        <f t="shared" si="33"/>
        <v>15.384571989655701</v>
      </c>
      <c r="H155" s="3">
        <f t="shared" si="34"/>
        <v>0.15945754237147725</v>
      </c>
      <c r="I155" s="3">
        <f t="shared" si="35"/>
        <v>15.464300760841439</v>
      </c>
      <c r="J155" s="3">
        <f t="shared" si="36"/>
        <v>0.10676385897768625</v>
      </c>
      <c r="K155" s="3">
        <f t="shared" si="37"/>
        <v>15.451127339992992</v>
      </c>
    </row>
    <row r="156" spans="1:14" x14ac:dyDescent="0.25">
      <c r="A156" s="3">
        <f t="shared" si="38"/>
        <v>8</v>
      </c>
      <c r="B156" s="3">
        <f t="shared" si="39"/>
        <v>15.54333503506134</v>
      </c>
      <c r="C156" s="3">
        <f t="shared" si="31"/>
        <v>5.4348238587735409E-2</v>
      </c>
      <c r="D156" s="6"/>
      <c r="F156" s="3">
        <f t="shared" si="32"/>
        <v>8</v>
      </c>
      <c r="G156" s="3">
        <f t="shared" si="33"/>
        <v>15.451127339992992</v>
      </c>
      <c r="H156" s="3">
        <f t="shared" si="34"/>
        <v>0.11548300431432423</v>
      </c>
      <c r="I156" s="3">
        <f t="shared" si="35"/>
        <v>15.508868842150154</v>
      </c>
      <c r="J156" s="3">
        <f t="shared" si="36"/>
        <v>7.7228328315548822E-2</v>
      </c>
      <c r="K156" s="3">
        <f t="shared" si="37"/>
        <v>15.499305173150461</v>
      </c>
    </row>
    <row r="157" spans="1:14" x14ac:dyDescent="0.25">
      <c r="A157" s="3">
        <f t="shared" si="38"/>
        <v>8.5</v>
      </c>
      <c r="B157" s="3">
        <f t="shared" si="39"/>
        <v>15.570509154355207</v>
      </c>
      <c r="C157" s="3">
        <f t="shared" si="31"/>
        <v>3.6284935477027602E-2</v>
      </c>
      <c r="D157" s="6"/>
      <c r="F157" s="3">
        <f t="shared" si="32"/>
        <v>8.5</v>
      </c>
      <c r="G157" s="3">
        <f t="shared" si="33"/>
        <v>15.499305173150461</v>
      </c>
      <c r="H157" s="3">
        <f t="shared" si="34"/>
        <v>8.3571044486014046E-2</v>
      </c>
      <c r="I157" s="3">
        <f t="shared" si="35"/>
        <v>15.541090695393468</v>
      </c>
      <c r="J157" s="3">
        <f t="shared" si="36"/>
        <v>5.5839161238949941E-2</v>
      </c>
      <c r="K157" s="3">
        <f t="shared" si="37"/>
        <v>15.534157724581702</v>
      </c>
    </row>
    <row r="158" spans="1:14" x14ac:dyDescent="0.25">
      <c r="A158" s="3">
        <f t="shared" si="38"/>
        <v>9</v>
      </c>
      <c r="B158" s="3">
        <f t="shared" si="39"/>
        <v>15.588651622093721</v>
      </c>
      <c r="C158" s="3">
        <f t="shared" si="31"/>
        <v>2.4213442018389486E-2</v>
      </c>
      <c r="D158" s="6"/>
      <c r="F158" s="3">
        <f t="shared" si="32"/>
        <v>9</v>
      </c>
      <c r="G158" s="3">
        <f t="shared" si="33"/>
        <v>15.534157724581702</v>
      </c>
      <c r="H158" s="3">
        <f t="shared" si="34"/>
        <v>6.0443846328656292E-2</v>
      </c>
      <c r="I158" s="3">
        <f t="shared" si="35"/>
        <v>15.56437964774603</v>
      </c>
      <c r="J158" s="3">
        <f t="shared" si="36"/>
        <v>4.0361213637272186E-2</v>
      </c>
      <c r="K158" s="3">
        <f t="shared" si="37"/>
        <v>15.559358989573184</v>
      </c>
      <c r="M158" s="10" t="s">
        <v>26</v>
      </c>
      <c r="N158" s="10"/>
    </row>
    <row r="159" spans="1:14" x14ac:dyDescent="0.25">
      <c r="A159" s="3">
        <f t="shared" si="38"/>
        <v>9.5</v>
      </c>
      <c r="B159" s="3">
        <f t="shared" si="39"/>
        <v>15.600758343102916</v>
      </c>
      <c r="C159" s="3">
        <f t="shared" si="31"/>
        <v>1.6152741028136575E-2</v>
      </c>
      <c r="D159" s="6"/>
      <c r="F159" s="3">
        <f t="shared" si="32"/>
        <v>9.5</v>
      </c>
      <c r="G159" s="3">
        <f t="shared" si="33"/>
        <v>15.559358989573184</v>
      </c>
      <c r="H159" s="3">
        <f t="shared" si="34"/>
        <v>4.3699279029883797E-2</v>
      </c>
      <c r="I159" s="3">
        <f t="shared" si="35"/>
        <v>15.581208629088126</v>
      </c>
      <c r="J159" s="3">
        <f t="shared" si="36"/>
        <v>2.9166939515828716E-2</v>
      </c>
      <c r="K159" s="3">
        <f t="shared" si="37"/>
        <v>15.577575544209612</v>
      </c>
    </row>
    <row r="160" spans="1:14" x14ac:dyDescent="0.25">
      <c r="A160" s="9">
        <f t="shared" si="38"/>
        <v>10</v>
      </c>
      <c r="B160" s="9">
        <f t="shared" si="39"/>
        <v>15.608834713616984</v>
      </c>
      <c r="C160" s="9">
        <f t="shared" si="31"/>
        <v>1.0773139377644014E-2</v>
      </c>
      <c r="F160" s="3">
        <f t="shared" si="32"/>
        <v>10</v>
      </c>
      <c r="G160" s="3">
        <f t="shared" si="33"/>
        <v>15.577575544209612</v>
      </c>
      <c r="H160" s="3">
        <f t="shared" si="34"/>
        <v>3.1584273733148649E-2</v>
      </c>
      <c r="I160" s="3">
        <f t="shared" si="35"/>
        <v>15.593367681076186</v>
      </c>
      <c r="J160" s="3">
        <f t="shared" si="36"/>
        <v>2.10739689896009E-2</v>
      </c>
      <c r="K160" s="3">
        <f t="shared" si="37"/>
        <v>15.590740104890299</v>
      </c>
    </row>
    <row r="161" spans="1:14" x14ac:dyDescent="0.25">
      <c r="A161" s="9">
        <f t="shared" ref="A161:A180" si="40">A160+$C$136</f>
        <v>10.5</v>
      </c>
      <c r="B161" s="9">
        <f t="shared" ref="B161:B180" si="41" xml:space="preserve"> B160 + $C$136 * C160</f>
        <v>15.614221283305806</v>
      </c>
      <c r="C161" s="9">
        <f t="shared" si="31"/>
        <v>7.184158274441188E-3</v>
      </c>
      <c r="F161" s="3">
        <f t="shared" si="32"/>
        <v>10.5</v>
      </c>
      <c r="G161" s="3">
        <f t="shared" si="33"/>
        <v>15.590740104890299</v>
      </c>
      <c r="H161" s="3">
        <f t="shared" si="34"/>
        <v>2.2823220587731896E-2</v>
      </c>
      <c r="I161" s="3">
        <f t="shared" si="35"/>
        <v>15.602151715184165</v>
      </c>
      <c r="J161" s="3">
        <f t="shared" si="36"/>
        <v>1.5224760420309735E-2</v>
      </c>
      <c r="K161" s="3">
        <f t="shared" si="37"/>
        <v>15.60025210014231</v>
      </c>
    </row>
    <row r="162" spans="1:14" x14ac:dyDescent="0.25">
      <c r="A162" s="9">
        <f t="shared" si="40"/>
        <v>11</v>
      </c>
      <c r="B162" s="9">
        <f t="shared" si="41"/>
        <v>15.617813362443027</v>
      </c>
      <c r="C162" s="9">
        <f t="shared" si="31"/>
        <v>4.7903570085381375E-3</v>
      </c>
      <c r="F162" s="3">
        <f t="shared" si="32"/>
        <v>11</v>
      </c>
      <c r="G162" s="3">
        <f t="shared" si="33"/>
        <v>15.60025210014231</v>
      </c>
      <c r="H162" s="3">
        <f t="shared" si="34"/>
        <v>1.6489883246208592E-2</v>
      </c>
      <c r="I162" s="3">
        <f t="shared" si="35"/>
        <v>15.608497041765414</v>
      </c>
      <c r="J162" s="3">
        <f t="shared" si="36"/>
        <v>1.099809694851217E-2</v>
      </c>
      <c r="K162" s="3">
        <f t="shared" si="37"/>
        <v>15.60712409519099</v>
      </c>
    </row>
    <row r="163" spans="1:14" x14ac:dyDescent="0.25">
      <c r="A163" s="9">
        <f t="shared" si="40"/>
        <v>11.5</v>
      </c>
      <c r="B163" s="9">
        <f t="shared" si="41"/>
        <v>15.620208540947296</v>
      </c>
      <c r="C163" s="9">
        <f t="shared" si="31"/>
        <v>3.1939794757143147E-3</v>
      </c>
      <c r="F163" s="3">
        <f t="shared" si="32"/>
        <v>11.5</v>
      </c>
      <c r="G163" s="3">
        <f t="shared" si="33"/>
        <v>15.60712409519099</v>
      </c>
      <c r="H163" s="3">
        <f t="shared" si="34"/>
        <v>1.1912722878005155E-2</v>
      </c>
      <c r="I163" s="3">
        <f t="shared" si="35"/>
        <v>15.613080456629993</v>
      </c>
      <c r="J163" s="3">
        <f t="shared" si="36"/>
        <v>7.9443409317541125E-3</v>
      </c>
      <c r="K163" s="3">
        <f t="shared" si="37"/>
        <v>15.61208836114343</v>
      </c>
    </row>
    <row r="164" spans="1:14" x14ac:dyDescent="0.25">
      <c r="A164" s="9">
        <f t="shared" si="40"/>
        <v>12</v>
      </c>
      <c r="B164" s="9">
        <f t="shared" si="41"/>
        <v>15.621805530685153</v>
      </c>
      <c r="C164" s="9">
        <f t="shared" si="31"/>
        <v>2.1295010641360079E-3</v>
      </c>
      <c r="F164" s="3">
        <f t="shared" si="32"/>
        <v>12</v>
      </c>
      <c r="G164" s="3">
        <f t="shared" si="33"/>
        <v>15.61208836114343</v>
      </c>
      <c r="H164" s="3">
        <f t="shared" si="34"/>
        <v>8.6053873739011522E-3</v>
      </c>
      <c r="I164" s="3">
        <f t="shared" si="35"/>
        <v>15.61639105483038</v>
      </c>
      <c r="J164" s="3">
        <f t="shared" si="36"/>
        <v>5.7382424566654322E-3</v>
      </c>
      <c r="K164" s="3">
        <f t="shared" si="37"/>
        <v>15.615674268601072</v>
      </c>
    </row>
    <row r="165" spans="1:14" x14ac:dyDescent="0.25">
      <c r="A165" s="9">
        <f t="shared" si="40"/>
        <v>12.5</v>
      </c>
      <c r="B165" s="9">
        <f t="shared" si="41"/>
        <v>15.622870281217221</v>
      </c>
      <c r="C165" s="9">
        <f t="shared" si="31"/>
        <v>1.4197480101785231E-3</v>
      </c>
      <c r="F165" s="3">
        <f t="shared" si="32"/>
        <v>12.5</v>
      </c>
      <c r="G165" s="3">
        <f t="shared" si="33"/>
        <v>15.615674268601072</v>
      </c>
      <c r="H165" s="3">
        <f t="shared" si="34"/>
        <v>6.2159170414943787E-3</v>
      </c>
      <c r="I165" s="3">
        <f t="shared" si="35"/>
        <v>15.61878222712182</v>
      </c>
      <c r="J165" s="3">
        <f t="shared" si="36"/>
        <v>4.1446319804521181E-3</v>
      </c>
      <c r="K165" s="3">
        <f t="shared" si="37"/>
        <v>15.618264405856559</v>
      </c>
    </row>
    <row r="166" spans="1:14" x14ac:dyDescent="0.25">
      <c r="A166" s="9">
        <f t="shared" si="40"/>
        <v>13</v>
      </c>
      <c r="B166" s="9">
        <f t="shared" si="41"/>
        <v>15.62358015522231</v>
      </c>
      <c r="C166" s="9">
        <f t="shared" si="31"/>
        <v>9.46534512543451E-4</v>
      </c>
      <c r="F166" s="3">
        <f t="shared" si="32"/>
        <v>13</v>
      </c>
      <c r="G166" s="3">
        <f t="shared" si="33"/>
        <v>15.618264405856559</v>
      </c>
      <c r="H166" s="3">
        <f t="shared" si="34"/>
        <v>4.4897507349475063E-3</v>
      </c>
      <c r="I166" s="3">
        <f t="shared" si="35"/>
        <v>15.620509281224033</v>
      </c>
      <c r="J166" s="3">
        <f t="shared" si="36"/>
        <v>2.9935256674455957E-3</v>
      </c>
      <c r="K166" s="3">
        <f t="shared" si="37"/>
        <v>15.620135224957156</v>
      </c>
    </row>
    <row r="167" spans="1:14" x14ac:dyDescent="0.25">
      <c r="A167" s="9">
        <f t="shared" si="40"/>
        <v>13.5</v>
      </c>
      <c r="B167" s="9">
        <f t="shared" si="41"/>
        <v>15.624053422478582</v>
      </c>
      <c r="C167" s="9">
        <f t="shared" si="31"/>
        <v>6.3103893736027317E-4</v>
      </c>
      <c r="F167" s="3">
        <f t="shared" si="32"/>
        <v>13.5</v>
      </c>
      <c r="G167" s="3">
        <f t="shared" si="33"/>
        <v>15.620135224957156</v>
      </c>
      <c r="H167" s="3">
        <f t="shared" si="34"/>
        <v>3.2428467316805154E-3</v>
      </c>
      <c r="I167" s="3">
        <f t="shared" si="35"/>
        <v>15.621756648322997</v>
      </c>
      <c r="J167" s="3">
        <f t="shared" si="36"/>
        <v>2.1620848292727146E-3</v>
      </c>
      <c r="K167" s="3">
        <f t="shared" si="37"/>
        <v>15.621486457847395</v>
      </c>
    </row>
    <row r="168" spans="1:14" x14ac:dyDescent="0.25">
      <c r="A168" s="9">
        <f t="shared" si="40"/>
        <v>14</v>
      </c>
      <c r="B168" s="9">
        <f t="shared" si="41"/>
        <v>15.624368941947262</v>
      </c>
      <c r="C168" s="9">
        <f t="shared" si="31"/>
        <v>4.2069970461611206E-4</v>
      </c>
      <c r="F168" s="3">
        <f t="shared" si="32"/>
        <v>14</v>
      </c>
      <c r="G168" s="3">
        <f t="shared" si="33"/>
        <v>15.621486457847395</v>
      </c>
      <c r="H168" s="3">
        <f t="shared" si="34"/>
        <v>2.3421858444940824E-3</v>
      </c>
      <c r="I168" s="3">
        <f t="shared" si="35"/>
        <v>15.622657550769642</v>
      </c>
      <c r="J168" s="3">
        <f t="shared" si="36"/>
        <v>1.5615547767353632E-3</v>
      </c>
      <c r="K168" s="3">
        <f t="shared" si="37"/>
        <v>15.622462393002703</v>
      </c>
    </row>
    <row r="169" spans="1:14" x14ac:dyDescent="0.25">
      <c r="A169" s="9">
        <f t="shared" si="40"/>
        <v>14.5</v>
      </c>
      <c r="B169" s="9">
        <f t="shared" si="41"/>
        <v>15.62457929179957</v>
      </c>
      <c r="C169" s="9">
        <f t="shared" si="31"/>
        <v>2.8046961632099965E-4</v>
      </c>
      <c r="F169" s="3">
        <f t="shared" si="32"/>
        <v>14.5</v>
      </c>
      <c r="G169" s="3">
        <f t="shared" si="33"/>
        <v>15.622462393002703</v>
      </c>
      <c r="H169" s="3">
        <f t="shared" si="34"/>
        <v>1.6916464083074345E-3</v>
      </c>
      <c r="I169" s="3">
        <f t="shared" si="35"/>
        <v>15.623308216206857</v>
      </c>
      <c r="J169" s="3">
        <f t="shared" si="36"/>
        <v>1.1278151542519765E-3</v>
      </c>
      <c r="K169" s="3">
        <f t="shared" si="37"/>
        <v>15.623167258393343</v>
      </c>
    </row>
    <row r="170" spans="1:14" x14ac:dyDescent="0.25">
      <c r="A170" s="9">
        <f t="shared" si="40"/>
        <v>15</v>
      </c>
      <c r="B170" s="9">
        <f t="shared" si="41"/>
        <v>15.624719526607731</v>
      </c>
      <c r="C170" s="9">
        <f t="shared" si="31"/>
        <v>1.8698114270421229E-4</v>
      </c>
      <c r="F170" s="3">
        <f t="shared" si="32"/>
        <v>15</v>
      </c>
      <c r="G170" s="3">
        <f t="shared" si="33"/>
        <v>15.623167258393343</v>
      </c>
      <c r="H170" s="3">
        <f t="shared" si="34"/>
        <v>1.2217799636715654E-3</v>
      </c>
      <c r="I170" s="3">
        <f t="shared" si="35"/>
        <v>15.623778148375179</v>
      </c>
      <c r="J170" s="3">
        <f t="shared" si="36"/>
        <v>8.1454651648016352E-4</v>
      </c>
      <c r="K170" s="3">
        <f t="shared" si="37"/>
        <v>15.623676340013381</v>
      </c>
    </row>
    <row r="171" spans="1:14" x14ac:dyDescent="0.25">
      <c r="A171" s="9">
        <f t="shared" si="40"/>
        <v>15.5</v>
      </c>
      <c r="B171" s="9">
        <f t="shared" si="41"/>
        <v>15.624813017179083</v>
      </c>
      <c r="C171" s="9">
        <f t="shared" si="31"/>
        <v>1.2465471669997896E-4</v>
      </c>
      <c r="F171" s="3">
        <f t="shared" si="32"/>
        <v>15.5</v>
      </c>
      <c r="G171" s="3">
        <f t="shared" si="33"/>
        <v>15.623676340013381</v>
      </c>
      <c r="H171" s="3">
        <f t="shared" si="34"/>
        <v>8.8241507172526212E-4</v>
      </c>
      <c r="I171" s="3">
        <f t="shared" si="35"/>
        <v>15.624117547549243</v>
      </c>
      <c r="J171" s="3">
        <f t="shared" si="36"/>
        <v>5.8829055839737521E-4</v>
      </c>
      <c r="K171" s="3">
        <f t="shared" si="37"/>
        <v>15.62404401642091</v>
      </c>
    </row>
    <row r="172" spans="1:14" x14ac:dyDescent="0.25">
      <c r="A172" s="9">
        <f t="shared" si="40"/>
        <v>16</v>
      </c>
      <c r="B172" s="9">
        <f t="shared" si="41"/>
        <v>15.624875344537433</v>
      </c>
      <c r="C172" s="9">
        <f t="shared" si="31"/>
        <v>8.3103420713825926E-5</v>
      </c>
      <c r="F172" s="3">
        <f t="shared" si="32"/>
        <v>16</v>
      </c>
      <c r="G172" s="3">
        <f t="shared" si="33"/>
        <v>15.62404401642091</v>
      </c>
      <c r="H172" s="3">
        <f t="shared" si="34"/>
        <v>6.3730938795103498E-4</v>
      </c>
      <c r="I172" s="3">
        <f t="shared" si="35"/>
        <v>15.624362671114886</v>
      </c>
      <c r="J172" s="3">
        <f t="shared" si="36"/>
        <v>4.2488014640085225E-4</v>
      </c>
      <c r="K172" s="3">
        <f t="shared" si="37"/>
        <v>15.624309563804498</v>
      </c>
    </row>
    <row r="173" spans="1:14" x14ac:dyDescent="0.25">
      <c r="A173" s="9">
        <f t="shared" si="40"/>
        <v>16.5</v>
      </c>
      <c r="B173" s="9">
        <f t="shared" si="41"/>
        <v>15.62491689624779</v>
      </c>
      <c r="C173" s="9">
        <f t="shared" si="31"/>
        <v>5.5402403251747501E-5</v>
      </c>
      <c r="F173" s="3">
        <f t="shared" si="32"/>
        <v>16.5</v>
      </c>
      <c r="G173" s="3">
        <f t="shared" si="33"/>
        <v>15.624309563804498</v>
      </c>
      <c r="H173" s="3">
        <f t="shared" si="34"/>
        <v>4.6028401709818922E-4</v>
      </c>
      <c r="I173" s="3">
        <f t="shared" si="35"/>
        <v>15.624539705813048</v>
      </c>
      <c r="J173" s="3">
        <f t="shared" si="36"/>
        <v>3.0685977798228237E-4</v>
      </c>
      <c r="K173" s="3">
        <f t="shared" si="37"/>
        <v>15.624501349753269</v>
      </c>
    </row>
    <row r="174" spans="1:14" x14ac:dyDescent="0.25">
      <c r="A174" s="9">
        <f t="shared" si="40"/>
        <v>17</v>
      </c>
      <c r="B174" s="9">
        <f t="shared" si="41"/>
        <v>15.624944597449415</v>
      </c>
      <c r="C174" s="9">
        <f t="shared" si="31"/>
        <v>3.6934990067294393E-5</v>
      </c>
      <c r="F174" s="3">
        <f t="shared" si="32"/>
        <v>17</v>
      </c>
      <c r="G174" s="3">
        <f t="shared" si="33"/>
        <v>15.624501349753269</v>
      </c>
      <c r="H174" s="3">
        <f t="shared" si="34"/>
        <v>3.3242996138582726E-4</v>
      </c>
      <c r="I174" s="3">
        <f t="shared" si="35"/>
        <v>15.624667564733961</v>
      </c>
      <c r="J174" s="3">
        <f t="shared" si="36"/>
        <v>2.2162193892683035E-4</v>
      </c>
      <c r="K174" s="3">
        <f t="shared" si="37"/>
        <v>15.624639862728348</v>
      </c>
    </row>
    <row r="175" spans="1:14" x14ac:dyDescent="0.25">
      <c r="A175" s="9">
        <f t="shared" si="40"/>
        <v>17.5</v>
      </c>
      <c r="B175" s="9">
        <f t="shared" si="41"/>
        <v>15.624963064944449</v>
      </c>
      <c r="C175" s="9">
        <f t="shared" si="31"/>
        <v>2.4623350967090119E-5</v>
      </c>
      <c r="F175" s="3">
        <f t="shared" si="32"/>
        <v>17.5</v>
      </c>
      <c r="G175" s="3">
        <f t="shared" si="33"/>
        <v>15.624639862728348</v>
      </c>
      <c r="H175" s="3">
        <f t="shared" si="34"/>
        <v>2.4008966980915147E-4</v>
      </c>
      <c r="I175" s="3">
        <f t="shared" si="35"/>
        <v>15.624759907563252</v>
      </c>
      <c r="J175" s="3">
        <f t="shared" si="36"/>
        <v>1.6006080466013373E-4</v>
      </c>
      <c r="K175" s="3">
        <f t="shared" si="37"/>
        <v>15.624739900346965</v>
      </c>
    </row>
    <row r="176" spans="1:14" x14ac:dyDescent="0.25">
      <c r="A176" s="9">
        <f t="shared" si="40"/>
        <v>18</v>
      </c>
      <c r="B176" s="9">
        <f t="shared" si="41"/>
        <v>15.624975376619933</v>
      </c>
      <c r="C176" s="9">
        <f t="shared" si="31"/>
        <v>1.6415578080852811E-5</v>
      </c>
      <c r="F176" s="3">
        <f t="shared" si="32"/>
        <v>18</v>
      </c>
      <c r="G176" s="3">
        <f t="shared" si="33"/>
        <v>15.624739900346965</v>
      </c>
      <c r="H176" s="3">
        <f t="shared" si="34"/>
        <v>1.7339880652755824E-4</v>
      </c>
      <c r="I176" s="3">
        <f t="shared" si="35"/>
        <v>15.624826599750229</v>
      </c>
      <c r="J176" s="3">
        <f t="shared" si="36"/>
        <v>1.155997388835317E-4</v>
      </c>
      <c r="K176" s="3">
        <f t="shared" si="37"/>
        <v>15.624812149983317</v>
      </c>
      <c r="M176" s="10" t="s">
        <v>21</v>
      </c>
      <c r="N176" s="10"/>
    </row>
    <row r="177" spans="1:19" x14ac:dyDescent="0.25">
      <c r="A177" s="9">
        <f t="shared" si="40"/>
        <v>18.5</v>
      </c>
      <c r="B177" s="9">
        <f t="shared" si="41"/>
        <v>15.624983584408973</v>
      </c>
      <c r="C177" s="9">
        <f t="shared" si="31"/>
        <v>1.0943723520284721E-5</v>
      </c>
      <c r="F177" s="3">
        <f t="shared" si="32"/>
        <v>18.5</v>
      </c>
      <c r="G177" s="3">
        <f t="shared" si="33"/>
        <v>15.624812149983317</v>
      </c>
      <c r="H177" s="3">
        <f t="shared" si="34"/>
        <v>1.252328425849214E-4</v>
      </c>
      <c r="I177" s="3">
        <f t="shared" si="35"/>
        <v>15.624874766404609</v>
      </c>
      <c r="J177" s="3">
        <f t="shared" si="36"/>
        <v>8.3488840530776542E-5</v>
      </c>
      <c r="K177" s="3">
        <f t="shared" si="37"/>
        <v>15.624864330404096</v>
      </c>
    </row>
    <row r="178" spans="1:19" x14ac:dyDescent="0.25">
      <c r="A178" s="9">
        <f t="shared" si="40"/>
        <v>19</v>
      </c>
      <c r="B178" s="9">
        <f t="shared" si="41"/>
        <v>15.624989056270733</v>
      </c>
      <c r="C178" s="9">
        <f t="shared" si="31"/>
        <v>7.2958178058968315E-6</v>
      </c>
      <c r="F178" s="3">
        <f t="shared" si="32"/>
        <v>19</v>
      </c>
      <c r="G178" s="3">
        <f t="shared" si="33"/>
        <v>15.624864330404096</v>
      </c>
      <c r="H178" s="3">
        <f t="shared" si="34"/>
        <v>9.0446135491362156E-5</v>
      </c>
      <c r="I178" s="3">
        <f t="shared" si="35"/>
        <v>15.624909553471841</v>
      </c>
      <c r="J178" s="3">
        <f t="shared" si="36"/>
        <v>6.029756908887407E-5</v>
      </c>
      <c r="K178" s="3">
        <f t="shared" si="37"/>
        <v>15.624902016330241</v>
      </c>
    </row>
    <row r="179" spans="1:19" x14ac:dyDescent="0.25">
      <c r="A179" s="9">
        <f t="shared" si="40"/>
        <v>19.5</v>
      </c>
      <c r="B179" s="9">
        <f t="shared" si="41"/>
        <v>15.624992704179636</v>
      </c>
      <c r="C179" s="9">
        <f t="shared" si="31"/>
        <v>4.8638794822863929E-6</v>
      </c>
      <c r="F179" s="3">
        <f t="shared" si="32"/>
        <v>19.5</v>
      </c>
      <c r="G179" s="3">
        <f t="shared" si="33"/>
        <v>15.624902016330241</v>
      </c>
      <c r="H179" s="3">
        <f t="shared" si="34"/>
        <v>6.532230996114663E-5</v>
      </c>
      <c r="I179" s="3">
        <f t="shared" si="35"/>
        <v>15.624934677485221</v>
      </c>
      <c r="J179" s="3">
        <f t="shared" si="36"/>
        <v>4.3548282501859603E-5</v>
      </c>
      <c r="K179" s="3">
        <f t="shared" si="37"/>
        <v>15.624929233978357</v>
      </c>
    </row>
    <row r="180" spans="1:19" x14ac:dyDescent="0.25">
      <c r="A180" s="5">
        <f t="shared" si="40"/>
        <v>20</v>
      </c>
      <c r="B180" s="2">
        <f t="shared" si="41"/>
        <v>15.624995136119377</v>
      </c>
      <c r="C180" s="5">
        <f t="shared" si="31"/>
        <v>3.2425867466656655E-6</v>
      </c>
      <c r="D180" s="6" t="s">
        <v>20</v>
      </c>
      <c r="F180" s="5">
        <f t="shared" si="32"/>
        <v>20</v>
      </c>
      <c r="G180" s="5">
        <f t="shared" si="33"/>
        <v>15.624929233978357</v>
      </c>
      <c r="H180" s="5">
        <f t="shared" si="34"/>
        <v>4.7177276545795621E-5</v>
      </c>
      <c r="I180" s="5">
        <f t="shared" si="35"/>
        <v>15.624952822616629</v>
      </c>
      <c r="J180" s="5">
        <f t="shared" si="36"/>
        <v>3.1451557255479656E-5</v>
      </c>
      <c r="K180" s="2">
        <f t="shared" si="37"/>
        <v>15.624948891186808</v>
      </c>
      <c r="L180" t="s">
        <v>20</v>
      </c>
      <c r="M180" s="11">
        <v>15625</v>
      </c>
    </row>
    <row r="182" spans="1:19" x14ac:dyDescent="0.25">
      <c r="M182" s="12" t="s">
        <v>22</v>
      </c>
      <c r="N182" s="12"/>
      <c r="O182" s="12"/>
      <c r="P182" s="12"/>
      <c r="Q182" s="12"/>
      <c r="R182" s="12"/>
      <c r="S182" s="12"/>
    </row>
    <row r="183" spans="1:19" x14ac:dyDescent="0.25">
      <c r="M183" s="12" t="s">
        <v>25</v>
      </c>
      <c r="N183" s="12"/>
      <c r="O183" s="12"/>
      <c r="P183" s="12"/>
      <c r="Q183" s="12"/>
      <c r="R183" s="12"/>
      <c r="S183" s="12"/>
    </row>
    <row r="184" spans="1:19" x14ac:dyDescent="0.25">
      <c r="M184" s="12"/>
      <c r="N184" s="12"/>
      <c r="O184" s="12"/>
      <c r="P184" s="12"/>
      <c r="Q184" s="12"/>
      <c r="R184" s="12"/>
      <c r="S184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Mamani Vallejo</dc:creator>
  <cp:lastModifiedBy>David Mamani Vallejo</cp:lastModifiedBy>
  <dcterms:created xsi:type="dcterms:W3CDTF">2025-12-01T21:38:42Z</dcterms:created>
  <dcterms:modified xsi:type="dcterms:W3CDTF">2025-12-02T00:19:48Z</dcterms:modified>
</cp:coreProperties>
</file>